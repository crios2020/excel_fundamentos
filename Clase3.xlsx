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3E88AB78-DBBE-4725-A11D-C6090878B891}" xr6:coauthVersionLast="45" xr6:coauthVersionMax="45" xr10:uidLastSave="{00000000-0000-0000-0000-000000000000}"/>
  <bookViews>
    <workbookView xWindow="-120" yWindow="-120" windowWidth="19170" windowHeight="11535" activeTab="3" xr2:uid="{82956382-2B45-448A-BD8E-2C158CAE2CA1}"/>
  </bookViews>
  <sheets>
    <sheet name="Hoja1" sheetId="1" r:id="rId1"/>
    <sheet name="Hoja2" sheetId="2" r:id="rId2"/>
    <sheet name="Hoja3" sheetId="3" r:id="rId3"/>
    <sheet name="Hoj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5" i="4" l="1"/>
  <c r="P6" i="4"/>
  <c r="P7" i="4"/>
  <c r="P8" i="4"/>
  <c r="P9" i="4"/>
  <c r="P10" i="4"/>
  <c r="P11" i="4"/>
  <c r="P4" i="4"/>
  <c r="I4" i="4"/>
  <c r="I5" i="4"/>
  <c r="I6" i="4"/>
  <c r="I7" i="4"/>
  <c r="I8" i="4"/>
  <c r="I9" i="4"/>
  <c r="I10" i="4"/>
  <c r="I11" i="4"/>
  <c r="F5" i="4"/>
  <c r="F6" i="4"/>
  <c r="F7" i="4"/>
  <c r="F8" i="4"/>
  <c r="F9" i="4"/>
  <c r="F10" i="4"/>
  <c r="F11" i="4"/>
  <c r="F4" i="4"/>
  <c r="C4" i="4"/>
  <c r="C5" i="4"/>
  <c r="C6" i="4"/>
  <c r="C7" i="4"/>
  <c r="C8" i="4"/>
  <c r="C9" i="4"/>
  <c r="C10" i="4"/>
  <c r="C11" i="4"/>
  <c r="L2" i="4"/>
  <c r="M4" i="4" s="1"/>
  <c r="N4" i="4" s="1"/>
  <c r="O4" i="4" s="1"/>
  <c r="Q4" i="4" s="1"/>
  <c r="D3" i="3"/>
  <c r="D4" i="3"/>
  <c r="D5" i="3"/>
  <c r="D6" i="3"/>
  <c r="D7" i="3"/>
  <c r="D8" i="3"/>
  <c r="D9" i="3"/>
  <c r="D10" i="3"/>
  <c r="E10" i="3"/>
  <c r="E9" i="3"/>
  <c r="E8" i="3"/>
  <c r="E7" i="3"/>
  <c r="E6" i="3"/>
  <c r="E5" i="3"/>
  <c r="E4" i="3"/>
  <c r="E3" i="3"/>
  <c r="J4" i="2"/>
  <c r="J5" i="2"/>
  <c r="J6" i="2"/>
  <c r="J7" i="2"/>
  <c r="J8" i="2"/>
  <c r="J9" i="2"/>
  <c r="J10" i="2"/>
  <c r="J3" i="2"/>
  <c r="I3" i="2"/>
  <c r="I4" i="2"/>
  <c r="I5" i="2"/>
  <c r="I6" i="2"/>
  <c r="I7" i="2"/>
  <c r="I8" i="2"/>
  <c r="I9" i="2"/>
  <c r="I10" i="2"/>
  <c r="H3" i="2"/>
  <c r="H4" i="2"/>
  <c r="H5" i="2"/>
  <c r="H6" i="2"/>
  <c r="H7" i="2"/>
  <c r="H8" i="2"/>
  <c r="H9" i="2"/>
  <c r="H10" i="2"/>
  <c r="G3" i="2"/>
  <c r="G4" i="2"/>
  <c r="G5" i="2"/>
  <c r="G6" i="2"/>
  <c r="G7" i="2"/>
  <c r="G8" i="2"/>
  <c r="G9" i="2"/>
  <c r="G10" i="2"/>
  <c r="F3" i="2"/>
  <c r="F4" i="2"/>
  <c r="F5" i="2"/>
  <c r="F6" i="2"/>
  <c r="F7" i="2"/>
  <c r="F8" i="2"/>
  <c r="F9" i="2"/>
  <c r="F10" i="2"/>
  <c r="C3" i="2"/>
  <c r="C4" i="2"/>
  <c r="C5" i="2"/>
  <c r="C6" i="2"/>
  <c r="C7" i="2"/>
  <c r="C8" i="2"/>
  <c r="C9" i="2"/>
  <c r="C10" i="2"/>
  <c r="F3" i="1"/>
  <c r="F5" i="1"/>
  <c r="E3" i="1"/>
  <c r="E4" i="1"/>
  <c r="F4" i="1" s="1"/>
  <c r="E5" i="1"/>
  <c r="E6" i="1"/>
  <c r="F6" i="1" s="1"/>
  <c r="S4" i="4" l="1"/>
  <c r="R4" i="4"/>
  <c r="T4" i="4" s="1"/>
  <c r="U4" i="4" s="1"/>
  <c r="M11" i="4"/>
  <c r="N11" i="4" s="1"/>
  <c r="O11" i="4" s="1"/>
  <c r="M10" i="4"/>
  <c r="N10" i="4" s="1"/>
  <c r="O10" i="4" s="1"/>
  <c r="M9" i="4"/>
  <c r="N9" i="4" s="1"/>
  <c r="O9" i="4" s="1"/>
  <c r="M8" i="4"/>
  <c r="N8" i="4" s="1"/>
  <c r="O8" i="4" s="1"/>
  <c r="M7" i="4"/>
  <c r="N7" i="4" s="1"/>
  <c r="O7" i="4" s="1"/>
  <c r="M6" i="4"/>
  <c r="N6" i="4" s="1"/>
  <c r="O6" i="4" s="1"/>
  <c r="M5" i="4"/>
  <c r="N5" i="4" s="1"/>
  <c r="O5" i="4" s="1"/>
  <c r="S5" i="4" l="1"/>
  <c r="R8" i="4"/>
  <c r="Q5" i="4"/>
  <c r="R5" i="4"/>
  <c r="Q6" i="4"/>
  <c r="R6" i="4"/>
  <c r="S6" i="4"/>
  <c r="Q7" i="4"/>
  <c r="R7" i="4"/>
  <c r="S7" i="4"/>
  <c r="Q8" i="4"/>
  <c r="S8" i="4"/>
  <c r="Q9" i="4"/>
  <c r="R9" i="4"/>
  <c r="S9" i="4"/>
  <c r="Q10" i="4"/>
  <c r="R10" i="4"/>
  <c r="S10" i="4"/>
  <c r="Q11" i="4"/>
  <c r="R11" i="4"/>
  <c r="S11" i="4"/>
  <c r="T11" i="4" l="1"/>
  <c r="U11" i="4" s="1"/>
  <c r="T10" i="4"/>
  <c r="U10" i="4" s="1"/>
  <c r="T9" i="4"/>
  <c r="U9" i="4" s="1"/>
  <c r="T8" i="4"/>
  <c r="U8" i="4" s="1"/>
  <c r="T7" i="4"/>
  <c r="U7" i="4" s="1"/>
  <c r="T6" i="4"/>
  <c r="U6" i="4" s="1"/>
  <c r="T5" i="4"/>
  <c r="U5" i="4" s="1"/>
</calcChain>
</file>

<file path=xl/sharedStrings.xml><?xml version="1.0" encoding="utf-8"?>
<sst xmlns="http://schemas.openxmlformats.org/spreadsheetml/2006/main" count="90" uniqueCount="78">
  <si>
    <t>Alumnos</t>
  </si>
  <si>
    <t>Laura</t>
  </si>
  <si>
    <t>Andrea</t>
  </si>
  <si>
    <t>Marcos</t>
  </si>
  <si>
    <t>Matemáticas</t>
  </si>
  <si>
    <t>Castellano</t>
  </si>
  <si>
    <t>Historia</t>
  </si>
  <si>
    <t>Matías</t>
  </si>
  <si>
    <t>Promedio</t>
  </si>
  <si>
    <t>Situación</t>
  </si>
  <si>
    <t>Situación: Los alumnos con promedio mayor o igual que 7 tienen situación 'APROBADO' sino situación 'DESAPROBADO'</t>
  </si>
  <si>
    <t>* = SI   ( PRUEBA LOGICA   ;  VALOR VERDAD  ;  VALOR FALSO )</t>
  </si>
  <si>
    <t>* =SI(E3&gt;=7;"APROBADO";"DESAPROBADO")</t>
  </si>
  <si>
    <t>Cliente</t>
  </si>
  <si>
    <t>c01</t>
  </si>
  <si>
    <t>c02</t>
  </si>
  <si>
    <t>c03</t>
  </si>
  <si>
    <t>c04</t>
  </si>
  <si>
    <t>c05</t>
  </si>
  <si>
    <t>c06</t>
  </si>
  <si>
    <t>c07</t>
  </si>
  <si>
    <t>c08</t>
  </si>
  <si>
    <t>Tipo</t>
  </si>
  <si>
    <t>Residencial</t>
  </si>
  <si>
    <t>Comercial</t>
  </si>
  <si>
    <t>Valor x KW</t>
  </si>
  <si>
    <t>Medidor Inicial KW</t>
  </si>
  <si>
    <t>Medidor Final KW</t>
  </si>
  <si>
    <t>Cantidad KWs</t>
  </si>
  <si>
    <t>Abono</t>
  </si>
  <si>
    <t>Subtotal</t>
  </si>
  <si>
    <t>Total IVA</t>
  </si>
  <si>
    <t>* Los Clientes Residenciales tiene valor x KW de 1,25$ y los Clientes Comerciales tiene valor x KW de 1,65$</t>
  </si>
  <si>
    <t>* Los Clientes Residenciales tienen un abono de 280$ y los Clientes Comerciales tienen un abono de 420$</t>
  </si>
  <si>
    <t>Total IVA : Subtotal + 21% del Subtotal</t>
  </si>
  <si>
    <t>Pasajero</t>
  </si>
  <si>
    <t>Check In</t>
  </si>
  <si>
    <t>Check out</t>
  </si>
  <si>
    <t>Estadia</t>
  </si>
  <si>
    <t>Total a pagar</t>
  </si>
  <si>
    <t>P1</t>
  </si>
  <si>
    <t>P2</t>
  </si>
  <si>
    <t>P3</t>
  </si>
  <si>
    <t>P4</t>
  </si>
  <si>
    <t>P5</t>
  </si>
  <si>
    <t>P6</t>
  </si>
  <si>
    <t>P7</t>
  </si>
  <si>
    <t>P8</t>
  </si>
  <si>
    <t>Estadia: Si Estadia es &lt;0 entonces Estadia=0 sino Estadia=checkout-checkin</t>
  </si>
  <si>
    <t>Legajo</t>
  </si>
  <si>
    <t>Sueldo Basico</t>
  </si>
  <si>
    <t>Cantidad Horas Extras</t>
  </si>
  <si>
    <t>Horas Simples</t>
  </si>
  <si>
    <t>Horas Dobles</t>
  </si>
  <si>
    <t>Valor Hora</t>
  </si>
  <si>
    <t>Total $ Horas Extras</t>
  </si>
  <si>
    <t>Conyugue</t>
  </si>
  <si>
    <t>si</t>
  </si>
  <si>
    <t>no</t>
  </si>
  <si>
    <t>Hijos</t>
  </si>
  <si>
    <t>Suma Fija no Remunerativa</t>
  </si>
  <si>
    <t>Suma Fija Remunerativa</t>
  </si>
  <si>
    <t>Fecha Ingreso</t>
  </si>
  <si>
    <t>Antigüedad</t>
  </si>
  <si>
    <t>Plus Antiguedad</t>
  </si>
  <si>
    <t>Total Sumas Remunerativas</t>
  </si>
  <si>
    <t>Total Sumas no Remunerativas</t>
  </si>
  <si>
    <t>Jubilación</t>
  </si>
  <si>
    <t>Obra Social</t>
  </si>
  <si>
    <t>Aporte Sindical</t>
  </si>
  <si>
    <t>Total Descuentos</t>
  </si>
  <si>
    <t>Sueldo Neto</t>
  </si>
  <si>
    <t>*=C4*D4*1,5+C4*E4*2</t>
  </si>
  <si>
    <t>*=C4*(D4*1,5+E4*2)</t>
  </si>
  <si>
    <t>Total Asignaciones Familiares</t>
  </si>
  <si>
    <t>*=SI(G4="si";$G$2+$H$2*H4;$H$2*H4)</t>
  </si>
  <si>
    <t>*=SI(G4="si";$G$2;0)+$H$2*H4</t>
  </si>
  <si>
    <t>*=$O4*Q$2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</si>
</sst>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2" fontId="0" fillId="0" borderId="0" xfId="0" applyNumberFormat="1"/>
    <xf numFmtId="9" fontId="0" fillId="0" borderId="0" xfId="0" applyNumberFormat="1"/>
    <xf numFmtId="44" fontId="0" fillId="0" borderId="0" xfId="1" applyFont="1"/>
    <xf numFmtId="44" fontId="0" fillId="0" borderId="0" xfId="0" applyNumberFormat="1"/>
    <xf numFmtId="14" fontId="0" fillId="0" borderId="0" xfId="0" applyNumberFormat="1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2">
    <cellStyle name="Moneda" xfId="1" builtinId="4"/>
    <cellStyle name="Normal" xfId="0" builtinId="0"/>
  </cellStyles>
  <dxfs count="5">
    <dxf>
      <font>
        <color theme="4" tint="-0.24994659260841701"/>
      </font>
    </dxf>
    <dxf>
      <font>
        <color rgb="FFFF0000"/>
      </font>
    </dxf>
    <dxf>
      <font>
        <color theme="4" tint="-0.2499465926084170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73D902-C46C-42D0-815F-6FD08985AFD3}" name="Tabla1" displayName="Tabla1" ref="A2:F6" totalsRowShown="0">
  <autoFilter ref="A2:F6" xr:uid="{580576B1-C833-4B01-93B3-42CBB8069CDE}"/>
  <tableColumns count="6">
    <tableColumn id="1" xr3:uid="{049540E9-A1E9-4360-B446-DC9B8C7A34CC}" name="Alumnos"/>
    <tableColumn id="2" xr3:uid="{F7169772-C304-4CDF-B5AE-17173451B6EE}" name="Matemáticas"/>
    <tableColumn id="3" xr3:uid="{7CD1D8E9-82F6-4A22-8639-65B6C3FF09A6}" name="Castellano"/>
    <tableColumn id="4" xr3:uid="{B583B94F-2939-4847-BCFD-C360AD17DDF2}" name="Historia"/>
    <tableColumn id="5" xr3:uid="{9F9BAC7F-A212-48D7-BAC3-B8A392926210}" name="Promedio" dataDxfId="4">
      <calculatedColumnFormula>ROUND(AVERAGE(B3:D3),2)</calculatedColumnFormula>
    </tableColumn>
    <tableColumn id="6" xr3:uid="{98EC344B-33A2-4BDA-9CBE-41460F26AF1F}" name="Situación" dataDxfId="3">
      <calculatedColumnFormula>IF(E3&gt;=7,"APROBADO","DESAPROBADO")</calculatedColumnFormula>
    </tableColumn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3A0F9-CE9E-4ECA-AC86-C24860EB355C}">
  <dimension ref="A2:F15"/>
  <sheetViews>
    <sheetView zoomScale="130" zoomScaleNormal="130" workbookViewId="0">
      <selection activeCell="D11" sqref="D11"/>
    </sheetView>
  </sheetViews>
  <sheetFormatPr baseColWidth="10" defaultRowHeight="15" x14ac:dyDescent="0.25"/>
  <cols>
    <col min="2" max="2" width="13.28515625" customWidth="1"/>
    <col min="5" max="5" width="11.85546875" bestFit="1" customWidth="1"/>
    <col min="6" max="6" width="14.42578125" bestFit="1" customWidth="1"/>
  </cols>
  <sheetData>
    <row r="2" spans="1:6" x14ac:dyDescent="0.25">
      <c r="A2" t="s">
        <v>0</v>
      </c>
      <c r="B2" t="s">
        <v>4</v>
      </c>
      <c r="C2" t="s">
        <v>5</v>
      </c>
      <c r="D2" t="s">
        <v>6</v>
      </c>
      <c r="E2" t="s">
        <v>8</v>
      </c>
      <c r="F2" t="s">
        <v>9</v>
      </c>
    </row>
    <row r="3" spans="1:6" x14ac:dyDescent="0.25">
      <c r="A3" t="s">
        <v>7</v>
      </c>
      <c r="B3">
        <v>5</v>
      </c>
      <c r="C3">
        <v>8</v>
      </c>
      <c r="D3">
        <v>6</v>
      </c>
      <c r="E3" s="1">
        <f>ROUND(AVERAGE(B3:D3),2)</f>
        <v>6.33</v>
      </c>
      <c r="F3" s="6" t="str">
        <f>IF(E3&gt;=7,"APROBADO","DESAPROBADO")</f>
        <v>DESAPROBADO</v>
      </c>
    </row>
    <row r="4" spans="1:6" x14ac:dyDescent="0.25">
      <c r="A4" t="s">
        <v>1</v>
      </c>
      <c r="B4">
        <v>7</v>
      </c>
      <c r="C4">
        <v>8</v>
      </c>
      <c r="D4">
        <v>1</v>
      </c>
      <c r="E4" s="1">
        <f t="shared" ref="E4:E6" si="0">ROUND(AVERAGE(B4:D4),2)</f>
        <v>5.33</v>
      </c>
      <c r="F4" s="6" t="str">
        <f t="shared" ref="F4:F6" si="1">IF(E4&gt;=7,"APROBADO","DESAPROBADO")</f>
        <v>DESAPROBADO</v>
      </c>
    </row>
    <row r="5" spans="1:6" x14ac:dyDescent="0.25">
      <c r="A5" t="s">
        <v>2</v>
      </c>
      <c r="B5">
        <v>9</v>
      </c>
      <c r="C5">
        <v>7</v>
      </c>
      <c r="D5">
        <v>5</v>
      </c>
      <c r="E5" s="1">
        <f t="shared" si="0"/>
        <v>7</v>
      </c>
      <c r="F5" s="6" t="str">
        <f t="shared" si="1"/>
        <v>APROBADO</v>
      </c>
    </row>
    <row r="6" spans="1:6" x14ac:dyDescent="0.25">
      <c r="A6" t="s">
        <v>3</v>
      </c>
      <c r="B6">
        <v>6</v>
      </c>
      <c r="C6">
        <v>7</v>
      </c>
      <c r="D6">
        <v>8</v>
      </c>
      <c r="E6" s="1">
        <f t="shared" si="0"/>
        <v>7</v>
      </c>
      <c r="F6" s="6" t="str">
        <f t="shared" si="1"/>
        <v>APROBADO</v>
      </c>
    </row>
    <row r="9" spans="1:6" x14ac:dyDescent="0.25">
      <c r="A9" t="s">
        <v>10</v>
      </c>
    </row>
    <row r="13" spans="1:6" x14ac:dyDescent="0.25">
      <c r="A13" t="s">
        <v>11</v>
      </c>
    </row>
    <row r="15" spans="1:6" x14ac:dyDescent="0.25">
      <c r="A15" t="s">
        <v>12</v>
      </c>
    </row>
  </sheetData>
  <conditionalFormatting sqref="F3:F6">
    <cfRule type="cellIs" dxfId="1" priority="1" operator="equal">
      <formula>"DESAPROBADO"</formula>
    </cfRule>
    <cfRule type="cellIs" dxfId="0" priority="2" operator="equal">
      <formula>"APROBADO"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7D6FC-B565-48D8-A6F2-26ED1E0921AE}">
  <dimension ref="A1:J18"/>
  <sheetViews>
    <sheetView zoomScale="120" zoomScaleNormal="120" workbookViewId="0">
      <selection activeCell="I12" sqref="I12"/>
    </sheetView>
  </sheetViews>
  <sheetFormatPr baseColWidth="10" defaultRowHeight="15" x14ac:dyDescent="0.25"/>
  <cols>
    <col min="4" max="4" width="17.85546875" bestFit="1" customWidth="1"/>
    <col min="5" max="5" width="16.85546875" bestFit="1" customWidth="1"/>
    <col min="6" max="6" width="13.140625" bestFit="1" customWidth="1"/>
  </cols>
  <sheetData>
    <row r="1" spans="1:10" x14ac:dyDescent="0.25">
      <c r="I1" s="2">
        <v>0.21</v>
      </c>
    </row>
    <row r="2" spans="1:10" x14ac:dyDescent="0.25">
      <c r="A2" t="s">
        <v>13</v>
      </c>
      <c r="B2" t="s">
        <v>22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</row>
    <row r="3" spans="1:10" x14ac:dyDescent="0.25">
      <c r="A3" t="s">
        <v>14</v>
      </c>
      <c r="B3" t="s">
        <v>23</v>
      </c>
      <c r="C3" s="3">
        <f>IF(B3="Residencial",1.25,1.65)</f>
        <v>1.25</v>
      </c>
      <c r="D3">
        <v>10001</v>
      </c>
      <c r="E3">
        <v>12000</v>
      </c>
      <c r="F3">
        <f>E3-D3</f>
        <v>1999</v>
      </c>
      <c r="G3" s="3">
        <f>IF(B3="Residencial",280,420)</f>
        <v>280</v>
      </c>
      <c r="H3" s="3">
        <f>G3+F3*C3</f>
        <v>2778.75</v>
      </c>
      <c r="I3" s="3">
        <f>H3+H3*$I$1</f>
        <v>3362.2874999999999</v>
      </c>
      <c r="J3" s="4">
        <f>H3*(1+$I$1)</f>
        <v>3362.2874999999999</v>
      </c>
    </row>
    <row r="4" spans="1:10" x14ac:dyDescent="0.25">
      <c r="A4" t="s">
        <v>15</v>
      </c>
      <c r="B4" t="s">
        <v>24</v>
      </c>
      <c r="C4" s="3">
        <f t="shared" ref="C4:C10" si="0">IF(B4="Residencial",1.25,1.65)</f>
        <v>1.65</v>
      </c>
      <c r="D4">
        <v>10001</v>
      </c>
      <c r="E4">
        <v>12010</v>
      </c>
      <c r="F4">
        <f t="shared" ref="F4:F10" si="1">E4-D4</f>
        <v>2009</v>
      </c>
      <c r="G4" s="3">
        <f t="shared" ref="G4:G10" si="2">IF(B4="Residencial",280,420)</f>
        <v>420</v>
      </c>
      <c r="H4" s="3">
        <f t="shared" ref="H4:H10" si="3">G4+F4*C4</f>
        <v>3734.85</v>
      </c>
      <c r="I4" s="3">
        <f t="shared" ref="I4:I10" si="4">H4+H4*$I$1</f>
        <v>4519.1684999999998</v>
      </c>
      <c r="J4" s="4">
        <f t="shared" ref="J4:J10" si="5">H4*(1+$I$1)</f>
        <v>4519.1684999999998</v>
      </c>
    </row>
    <row r="5" spans="1:10" x14ac:dyDescent="0.25">
      <c r="A5" t="s">
        <v>16</v>
      </c>
      <c r="B5" t="s">
        <v>23</v>
      </c>
      <c r="C5" s="3">
        <f t="shared" si="0"/>
        <v>1.25</v>
      </c>
      <c r="D5">
        <v>10001</v>
      </c>
      <c r="E5">
        <v>12020</v>
      </c>
      <c r="F5">
        <f t="shared" si="1"/>
        <v>2019</v>
      </c>
      <c r="G5" s="3">
        <f t="shared" si="2"/>
        <v>280</v>
      </c>
      <c r="H5" s="3">
        <f t="shared" si="3"/>
        <v>2803.75</v>
      </c>
      <c r="I5" s="3">
        <f t="shared" si="4"/>
        <v>3392.5374999999999</v>
      </c>
      <c r="J5" s="4">
        <f t="shared" si="5"/>
        <v>3392.5374999999999</v>
      </c>
    </row>
    <row r="6" spans="1:10" x14ac:dyDescent="0.25">
      <c r="A6" t="s">
        <v>17</v>
      </c>
      <c r="B6" t="s">
        <v>24</v>
      </c>
      <c r="C6" s="3">
        <f t="shared" si="0"/>
        <v>1.65</v>
      </c>
      <c r="D6">
        <v>10001</v>
      </c>
      <c r="E6">
        <v>12030</v>
      </c>
      <c r="F6">
        <f t="shared" si="1"/>
        <v>2029</v>
      </c>
      <c r="G6" s="3">
        <f t="shared" si="2"/>
        <v>420</v>
      </c>
      <c r="H6" s="3">
        <f t="shared" si="3"/>
        <v>3767.85</v>
      </c>
      <c r="I6" s="3">
        <f t="shared" si="4"/>
        <v>4559.0985000000001</v>
      </c>
      <c r="J6" s="4">
        <f t="shared" si="5"/>
        <v>4559.0985000000001</v>
      </c>
    </row>
    <row r="7" spans="1:10" x14ac:dyDescent="0.25">
      <c r="A7" t="s">
        <v>18</v>
      </c>
      <c r="B7" t="s">
        <v>23</v>
      </c>
      <c r="C7" s="3">
        <f t="shared" si="0"/>
        <v>1.25</v>
      </c>
      <c r="D7">
        <v>10001</v>
      </c>
      <c r="E7">
        <v>12040</v>
      </c>
      <c r="F7">
        <f t="shared" si="1"/>
        <v>2039</v>
      </c>
      <c r="G7" s="3">
        <f t="shared" si="2"/>
        <v>280</v>
      </c>
      <c r="H7" s="3">
        <f t="shared" si="3"/>
        <v>2828.75</v>
      </c>
      <c r="I7" s="3">
        <f t="shared" si="4"/>
        <v>3422.7874999999999</v>
      </c>
      <c r="J7" s="4">
        <f t="shared" si="5"/>
        <v>3422.7874999999999</v>
      </c>
    </row>
    <row r="8" spans="1:10" x14ac:dyDescent="0.25">
      <c r="A8" t="s">
        <v>19</v>
      </c>
      <c r="B8" t="s">
        <v>24</v>
      </c>
      <c r="C8" s="3">
        <f t="shared" si="0"/>
        <v>1.65</v>
      </c>
      <c r="D8">
        <v>10001</v>
      </c>
      <c r="E8">
        <v>12050</v>
      </c>
      <c r="F8">
        <f t="shared" si="1"/>
        <v>2049</v>
      </c>
      <c r="G8" s="3">
        <f t="shared" si="2"/>
        <v>420</v>
      </c>
      <c r="H8" s="3">
        <f t="shared" si="3"/>
        <v>3800.85</v>
      </c>
      <c r="I8" s="3">
        <f t="shared" si="4"/>
        <v>4599.0285000000003</v>
      </c>
      <c r="J8" s="4">
        <f t="shared" si="5"/>
        <v>4599.0284999999994</v>
      </c>
    </row>
    <row r="9" spans="1:10" x14ac:dyDescent="0.25">
      <c r="A9" t="s">
        <v>20</v>
      </c>
      <c r="B9" t="s">
        <v>23</v>
      </c>
      <c r="C9" s="3">
        <f t="shared" si="0"/>
        <v>1.25</v>
      </c>
      <c r="D9">
        <v>10001</v>
      </c>
      <c r="E9">
        <v>12060</v>
      </c>
      <c r="F9">
        <f t="shared" si="1"/>
        <v>2059</v>
      </c>
      <c r="G9" s="3">
        <f t="shared" si="2"/>
        <v>280</v>
      </c>
      <c r="H9" s="3">
        <f t="shared" si="3"/>
        <v>2853.75</v>
      </c>
      <c r="I9" s="3">
        <f t="shared" si="4"/>
        <v>3453.0374999999999</v>
      </c>
      <c r="J9" s="4">
        <f t="shared" si="5"/>
        <v>3453.0374999999999</v>
      </c>
    </row>
    <row r="10" spans="1:10" x14ac:dyDescent="0.25">
      <c r="A10" t="s">
        <v>21</v>
      </c>
      <c r="B10" t="s">
        <v>24</v>
      </c>
      <c r="C10" s="3">
        <f t="shared" si="0"/>
        <v>1.65</v>
      </c>
      <c r="D10">
        <v>10001</v>
      </c>
      <c r="E10">
        <v>12070</v>
      </c>
      <c r="F10">
        <f t="shared" si="1"/>
        <v>2069</v>
      </c>
      <c r="G10" s="3">
        <f t="shared" si="2"/>
        <v>420</v>
      </c>
      <c r="H10" s="3">
        <f t="shared" si="3"/>
        <v>3833.85</v>
      </c>
      <c r="I10" s="3">
        <f t="shared" si="4"/>
        <v>4638.9584999999997</v>
      </c>
      <c r="J10" s="4">
        <f t="shared" si="5"/>
        <v>4638.9584999999997</v>
      </c>
    </row>
    <row r="14" spans="1:10" x14ac:dyDescent="0.25">
      <c r="A14" t="s">
        <v>32</v>
      </c>
    </row>
    <row r="16" spans="1:10" x14ac:dyDescent="0.25">
      <c r="A16" t="s">
        <v>33</v>
      </c>
    </row>
    <row r="18" spans="1:1" x14ac:dyDescent="0.25">
      <c r="A18" t="s">
        <v>34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B1D81-206D-4B50-A14E-B89C30B0113C}">
  <dimension ref="A1:E13"/>
  <sheetViews>
    <sheetView zoomScale="130" zoomScaleNormal="130" workbookViewId="0">
      <selection activeCell="D11" sqref="D11"/>
    </sheetView>
  </sheetViews>
  <sheetFormatPr baseColWidth="10" defaultRowHeight="15" x14ac:dyDescent="0.25"/>
  <cols>
    <col min="5" max="5" width="20.28515625" customWidth="1"/>
  </cols>
  <sheetData>
    <row r="1" spans="1:5" x14ac:dyDescent="0.25">
      <c r="D1" s="3">
        <v>3700</v>
      </c>
    </row>
    <row r="2" spans="1: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</row>
    <row r="3" spans="1:5" x14ac:dyDescent="0.25">
      <c r="A3" t="s">
        <v>40</v>
      </c>
      <c r="B3" s="5">
        <v>44384</v>
      </c>
      <c r="C3" s="5">
        <v>44400</v>
      </c>
      <c r="D3">
        <f>IF(C3-B3&lt;0,0,C3-B3)</f>
        <v>16</v>
      </c>
      <c r="E3" s="4">
        <f>D3*$D$1</f>
        <v>59200</v>
      </c>
    </row>
    <row r="4" spans="1:5" x14ac:dyDescent="0.25">
      <c r="A4" t="s">
        <v>41</v>
      </c>
      <c r="B4" s="5">
        <v>44387</v>
      </c>
      <c r="C4" s="5"/>
      <c r="D4">
        <f t="shared" ref="D4:D10" si="0">IF(C4-B4&lt;0,0,C4-B4)</f>
        <v>0</v>
      </c>
      <c r="E4" s="4">
        <f t="shared" ref="E4:E10" si="1">D4*$D$1</f>
        <v>0</v>
      </c>
    </row>
    <row r="5" spans="1:5" x14ac:dyDescent="0.25">
      <c r="A5" t="s">
        <v>42</v>
      </c>
      <c r="B5" s="5">
        <v>44389</v>
      </c>
      <c r="C5" s="5">
        <v>44400</v>
      </c>
      <c r="D5">
        <f t="shared" si="0"/>
        <v>11</v>
      </c>
      <c r="E5" s="4">
        <f t="shared" si="1"/>
        <v>40700</v>
      </c>
    </row>
    <row r="6" spans="1:5" x14ac:dyDescent="0.25">
      <c r="A6" t="s">
        <v>43</v>
      </c>
      <c r="B6" s="5">
        <v>44392</v>
      </c>
      <c r="C6" s="5"/>
      <c r="D6">
        <f t="shared" si="0"/>
        <v>0</v>
      </c>
      <c r="E6" s="4">
        <f t="shared" si="1"/>
        <v>0</v>
      </c>
    </row>
    <row r="7" spans="1:5" x14ac:dyDescent="0.25">
      <c r="A7" t="s">
        <v>44</v>
      </c>
      <c r="B7" s="5">
        <v>44384</v>
      </c>
      <c r="D7">
        <f t="shared" si="0"/>
        <v>0</v>
      </c>
      <c r="E7" s="4">
        <f t="shared" si="1"/>
        <v>0</v>
      </c>
    </row>
    <row r="8" spans="1:5" x14ac:dyDescent="0.25">
      <c r="A8" t="s">
        <v>45</v>
      </c>
      <c r="B8" s="5">
        <v>44387</v>
      </c>
      <c r="D8">
        <f t="shared" si="0"/>
        <v>0</v>
      </c>
      <c r="E8" s="4">
        <f t="shared" si="1"/>
        <v>0</v>
      </c>
    </row>
    <row r="9" spans="1:5" x14ac:dyDescent="0.25">
      <c r="A9" t="s">
        <v>46</v>
      </c>
      <c r="B9" s="5">
        <v>44389</v>
      </c>
      <c r="C9" s="5">
        <v>44400</v>
      </c>
      <c r="D9">
        <f t="shared" si="0"/>
        <v>11</v>
      </c>
      <c r="E9" s="4">
        <f t="shared" si="1"/>
        <v>40700</v>
      </c>
    </row>
    <row r="10" spans="1:5" x14ac:dyDescent="0.25">
      <c r="A10" t="s">
        <v>47</v>
      </c>
      <c r="B10" s="5">
        <v>44392</v>
      </c>
      <c r="D10">
        <f t="shared" si="0"/>
        <v>0</v>
      </c>
      <c r="E10" s="4">
        <f t="shared" si="1"/>
        <v>0</v>
      </c>
    </row>
    <row r="13" spans="1:5" x14ac:dyDescent="0.25">
      <c r="A1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C6D57-A481-449A-BD0E-10CAA2CCB674}">
  <dimension ref="A1:U14"/>
  <sheetViews>
    <sheetView tabSelected="1" topLeftCell="M1" zoomScale="130" zoomScaleNormal="130" workbookViewId="0">
      <selection activeCell="U5" sqref="U5"/>
    </sheetView>
  </sheetViews>
  <sheetFormatPr baseColWidth="10" defaultRowHeight="15" x14ac:dyDescent="0.25"/>
  <cols>
    <col min="1" max="1" width="6.7109375" bestFit="1" customWidth="1"/>
    <col min="2" max="2" width="12.7109375" customWidth="1"/>
    <col min="3" max="3" width="10.28515625" bestFit="1" customWidth="1"/>
    <col min="4" max="4" width="10.85546875" customWidth="1"/>
    <col min="5" max="5" width="10.28515625" customWidth="1"/>
    <col min="6" max="6" width="11.5703125" customWidth="1"/>
    <col min="7" max="8" width="9.85546875" bestFit="1" customWidth="1"/>
    <col min="9" max="9" width="17.28515625" customWidth="1"/>
    <col min="10" max="10" width="14" customWidth="1"/>
    <col min="11" max="11" width="13.28515625" customWidth="1"/>
    <col min="12" max="12" width="12.42578125" customWidth="1"/>
    <col min="13" max="13" width="10.5703125" customWidth="1"/>
    <col min="14" max="14" width="15.42578125" bestFit="1" customWidth="1"/>
    <col min="15" max="15" width="12.5703125" customWidth="1"/>
    <col min="16" max="16" width="14.28515625" customWidth="1"/>
    <col min="17" max="17" width="12.7109375" bestFit="1" customWidth="1"/>
    <col min="18" max="18" width="11.5703125" bestFit="1" customWidth="1"/>
    <col min="19" max="19" width="14.42578125" bestFit="1" customWidth="1"/>
    <col min="20" max="20" width="13.7109375" customWidth="1"/>
    <col min="21" max="21" width="13" customWidth="1"/>
  </cols>
  <sheetData>
    <row r="1" spans="1:21" x14ac:dyDescent="0.25">
      <c r="D1" s="2">
        <v>0.5</v>
      </c>
      <c r="E1" s="2">
        <v>1</v>
      </c>
    </row>
    <row r="2" spans="1:21" x14ac:dyDescent="0.25">
      <c r="D2" s="7" t="s">
        <v>51</v>
      </c>
      <c r="E2" s="7"/>
      <c r="G2" s="3">
        <v>500</v>
      </c>
      <c r="H2" s="3">
        <v>200</v>
      </c>
      <c r="I2" s="3"/>
      <c r="L2" s="5">
        <f ca="1">TODAY()</f>
        <v>44400</v>
      </c>
      <c r="N2" s="2">
        <v>0.02</v>
      </c>
      <c r="Q2" s="2">
        <v>0.11</v>
      </c>
      <c r="R2" s="2">
        <v>7.0000000000000007E-2</v>
      </c>
      <c r="S2" s="2">
        <v>0.03</v>
      </c>
    </row>
    <row r="3" spans="1:21" s="8" customFormat="1" ht="29.25" customHeight="1" x14ac:dyDescent="0.25">
      <c r="A3" s="8" t="s">
        <v>49</v>
      </c>
      <c r="B3" s="8" t="s">
        <v>50</v>
      </c>
      <c r="C3" s="8" t="s">
        <v>54</v>
      </c>
      <c r="D3" s="8" t="s">
        <v>52</v>
      </c>
      <c r="E3" s="8" t="s">
        <v>53</v>
      </c>
      <c r="F3" s="8" t="s">
        <v>55</v>
      </c>
      <c r="G3" s="8" t="s">
        <v>56</v>
      </c>
      <c r="H3" s="8" t="s">
        <v>59</v>
      </c>
      <c r="I3" s="8" t="s">
        <v>74</v>
      </c>
      <c r="J3" s="8" t="s">
        <v>60</v>
      </c>
      <c r="K3" s="8" t="s">
        <v>61</v>
      </c>
      <c r="L3" s="8" t="s">
        <v>62</v>
      </c>
      <c r="M3" s="8" t="s">
        <v>63</v>
      </c>
      <c r="N3" s="8" t="s">
        <v>64</v>
      </c>
      <c r="O3" s="8" t="s">
        <v>65</v>
      </c>
      <c r="P3" s="8" t="s">
        <v>66</v>
      </c>
      <c r="Q3" s="8" t="s">
        <v>67</v>
      </c>
      <c r="R3" s="8" t="s">
        <v>68</v>
      </c>
      <c r="S3" s="8" t="s">
        <v>69</v>
      </c>
      <c r="T3" s="8" t="s">
        <v>70</v>
      </c>
      <c r="U3" s="8" t="s">
        <v>71</v>
      </c>
    </row>
    <row r="4" spans="1:21" x14ac:dyDescent="0.25">
      <c r="A4">
        <v>1001</v>
      </c>
      <c r="B4" s="3">
        <v>50000</v>
      </c>
      <c r="C4" s="3">
        <f>B4/200</f>
        <v>250</v>
      </c>
      <c r="D4">
        <v>10</v>
      </c>
      <c r="E4">
        <v>2</v>
      </c>
      <c r="F4" s="4">
        <f>C4*(D4*1.5+E4*2)</f>
        <v>4750</v>
      </c>
      <c r="G4" t="s">
        <v>57</v>
      </c>
      <c r="H4">
        <v>1</v>
      </c>
      <c r="I4" s="3">
        <f>IF(G4="si",$G$2,0)+$H$2*H4</f>
        <v>700</v>
      </c>
      <c r="J4" s="3">
        <v>5000</v>
      </c>
      <c r="K4" s="3">
        <v>8000</v>
      </c>
      <c r="L4" s="5">
        <v>37074</v>
      </c>
      <c r="M4">
        <f ca="1">INT(DAYS360(L4,$L$2)/360)</f>
        <v>20</v>
      </c>
      <c r="N4" s="4">
        <f ca="1">(B4+F4)*$N$2*M4</f>
        <v>21900</v>
      </c>
      <c r="O4" s="4">
        <f ca="1">B4+F4+K4+N4</f>
        <v>84650</v>
      </c>
      <c r="P4" s="4">
        <f>I4+J4</f>
        <v>5700</v>
      </c>
      <c r="Q4" s="4">
        <f ca="1">$O4*Q$2</f>
        <v>9311.5</v>
      </c>
      <c r="R4" s="4">
        <f t="shared" ref="R4:S4" ca="1" si="0">$O4*R$2</f>
        <v>5925.5000000000009</v>
      </c>
      <c r="S4" s="4">
        <f t="shared" ca="1" si="0"/>
        <v>2539.5</v>
      </c>
      <c r="T4" s="4">
        <f ca="1">SUM(Q4:S4)</f>
        <v>17776.5</v>
      </c>
      <c r="U4" s="4">
        <f ca="1">O4+P4-T4</f>
        <v>72573.5</v>
      </c>
    </row>
    <row r="5" spans="1:21" x14ac:dyDescent="0.25">
      <c r="A5">
        <v>1002</v>
      </c>
      <c r="B5" s="3">
        <v>50000</v>
      </c>
      <c r="C5" s="3">
        <f t="shared" ref="C5:C11" si="1">B5/200</f>
        <v>250</v>
      </c>
      <c r="D5">
        <v>5</v>
      </c>
      <c r="E5">
        <v>2</v>
      </c>
      <c r="F5" s="4">
        <f t="shared" ref="F5:F11" si="2">C5*(D5*1.5+E5*2)</f>
        <v>2875</v>
      </c>
      <c r="G5" t="s">
        <v>58</v>
      </c>
      <c r="H5">
        <v>2</v>
      </c>
      <c r="I5" s="3">
        <f t="shared" ref="I5:I11" si="3">IF(G5="si",$G$2,0)+$H$2*H5</f>
        <v>400</v>
      </c>
      <c r="J5" s="3">
        <v>5000</v>
      </c>
      <c r="K5" s="3">
        <v>8000</v>
      </c>
      <c r="L5" s="5">
        <v>38100</v>
      </c>
      <c r="M5">
        <f t="shared" ref="M5:M11" ca="1" si="4">INT(DAYS360(L5,$L$2)/360)</f>
        <v>17</v>
      </c>
      <c r="N5" s="4">
        <f t="shared" ref="N5:N11" ca="1" si="5">(B5+F5)*$N$2*M5</f>
        <v>17977.5</v>
      </c>
      <c r="O5" s="4">
        <f t="shared" ref="O5:O11" ca="1" si="6">B5+F5+K5+N5</f>
        <v>78852.5</v>
      </c>
      <c r="P5" s="4">
        <f t="shared" ref="P5:P11" si="7">I5+J5</f>
        <v>5400</v>
      </c>
      <c r="Q5" s="4">
        <f t="shared" ref="Q5:S11" ca="1" si="8">$O5*Q$2</f>
        <v>8673.7749999999996</v>
      </c>
      <c r="R5" s="4">
        <f t="shared" ca="1" si="8"/>
        <v>5519.6750000000002</v>
      </c>
      <c r="S5" s="4">
        <f ca="1">$O5*S$2</f>
        <v>2365.5749999999998</v>
      </c>
      <c r="T5" s="4">
        <f t="shared" ref="T5:T11" ca="1" si="9">SUM(Q5:S5)</f>
        <v>16559.025000000001</v>
      </c>
      <c r="U5" s="4">
        <f t="shared" ref="U5:U11" ca="1" si="10">O5+P5-T5</f>
        <v>67693.475000000006</v>
      </c>
    </row>
    <row r="6" spans="1:21" x14ac:dyDescent="0.25">
      <c r="A6">
        <v>1003</v>
      </c>
      <c r="B6" s="3">
        <v>50000</v>
      </c>
      <c r="C6" s="3">
        <f t="shared" si="1"/>
        <v>250</v>
      </c>
      <c r="D6">
        <v>2</v>
      </c>
      <c r="E6">
        <v>6</v>
      </c>
      <c r="F6" s="4">
        <f t="shared" si="2"/>
        <v>3750</v>
      </c>
      <c r="G6" t="s">
        <v>57</v>
      </c>
      <c r="H6">
        <v>3</v>
      </c>
      <c r="I6" s="3">
        <f t="shared" si="3"/>
        <v>1100</v>
      </c>
      <c r="J6" s="3">
        <v>5000</v>
      </c>
      <c r="K6" s="3">
        <v>8000</v>
      </c>
      <c r="L6" s="5">
        <v>39340</v>
      </c>
      <c r="M6">
        <f t="shared" ca="1" si="4"/>
        <v>13</v>
      </c>
      <c r="N6" s="4">
        <f t="shared" ca="1" si="5"/>
        <v>13975</v>
      </c>
      <c r="O6" s="4">
        <f t="shared" ca="1" si="6"/>
        <v>75725</v>
      </c>
      <c r="P6" s="4">
        <f t="shared" si="7"/>
        <v>6100</v>
      </c>
      <c r="Q6" s="4">
        <f t="shared" ca="1" si="8"/>
        <v>8329.75</v>
      </c>
      <c r="R6" s="4">
        <f t="shared" ca="1" si="8"/>
        <v>5300.7500000000009</v>
      </c>
      <c r="S6" s="4">
        <f t="shared" ca="1" si="8"/>
        <v>2271.75</v>
      </c>
      <c r="T6" s="4">
        <f t="shared" ca="1" si="9"/>
        <v>15902.25</v>
      </c>
      <c r="U6" s="4">
        <f t="shared" ca="1" si="10"/>
        <v>65922.75</v>
      </c>
    </row>
    <row r="7" spans="1:21" x14ac:dyDescent="0.25">
      <c r="A7">
        <v>1004</v>
      </c>
      <c r="B7" s="3">
        <v>50000</v>
      </c>
      <c r="C7" s="3">
        <f t="shared" si="1"/>
        <v>250</v>
      </c>
      <c r="D7">
        <v>1</v>
      </c>
      <c r="E7">
        <v>0</v>
      </c>
      <c r="F7" s="4">
        <f t="shared" si="2"/>
        <v>375</v>
      </c>
      <c r="G7" t="s">
        <v>58</v>
      </c>
      <c r="H7">
        <v>0</v>
      </c>
      <c r="I7" s="3">
        <f t="shared" si="3"/>
        <v>0</v>
      </c>
      <c r="J7" s="3">
        <v>5000</v>
      </c>
      <c r="K7" s="3">
        <v>8000</v>
      </c>
      <c r="L7" s="5">
        <v>39733</v>
      </c>
      <c r="M7">
        <f t="shared" ca="1" si="4"/>
        <v>12</v>
      </c>
      <c r="N7" s="4">
        <f t="shared" ca="1" si="5"/>
        <v>12090</v>
      </c>
      <c r="O7" s="4">
        <f t="shared" ca="1" si="6"/>
        <v>70465</v>
      </c>
      <c r="P7" s="4">
        <f t="shared" si="7"/>
        <v>5000</v>
      </c>
      <c r="Q7" s="4">
        <f t="shared" ca="1" si="8"/>
        <v>7751.15</v>
      </c>
      <c r="R7" s="4">
        <f t="shared" ca="1" si="8"/>
        <v>4932.55</v>
      </c>
      <c r="S7" s="4">
        <f t="shared" ca="1" si="8"/>
        <v>2113.9499999999998</v>
      </c>
      <c r="T7" s="4">
        <f t="shared" ca="1" si="9"/>
        <v>14797.650000000001</v>
      </c>
      <c r="U7" s="4">
        <f t="shared" ca="1" si="10"/>
        <v>60667.35</v>
      </c>
    </row>
    <row r="8" spans="1:21" x14ac:dyDescent="0.25">
      <c r="A8">
        <v>1005</v>
      </c>
      <c r="B8" s="3">
        <v>50000</v>
      </c>
      <c r="C8" s="3">
        <f t="shared" si="1"/>
        <v>250</v>
      </c>
      <c r="D8">
        <v>0</v>
      </c>
      <c r="E8">
        <v>0</v>
      </c>
      <c r="F8" s="4">
        <f t="shared" si="2"/>
        <v>0</v>
      </c>
      <c r="G8" t="s">
        <v>57</v>
      </c>
      <c r="H8">
        <v>0</v>
      </c>
      <c r="I8" s="3">
        <f t="shared" si="3"/>
        <v>500</v>
      </c>
      <c r="J8" s="3">
        <v>5000</v>
      </c>
      <c r="K8" s="3">
        <v>8000</v>
      </c>
      <c r="L8" s="5">
        <v>39981</v>
      </c>
      <c r="M8">
        <f t="shared" ca="1" si="4"/>
        <v>12</v>
      </c>
      <c r="N8" s="4">
        <f t="shared" ca="1" si="5"/>
        <v>12000</v>
      </c>
      <c r="O8" s="4">
        <f t="shared" ca="1" si="6"/>
        <v>70000</v>
      </c>
      <c r="P8" s="4">
        <f t="shared" si="7"/>
        <v>5500</v>
      </c>
      <c r="Q8" s="4">
        <f t="shared" ca="1" si="8"/>
        <v>7700</v>
      </c>
      <c r="R8" s="4">
        <f ca="1">$O8*R$2</f>
        <v>4900.0000000000009</v>
      </c>
      <c r="S8" s="4">
        <f t="shared" ca="1" si="8"/>
        <v>2100</v>
      </c>
      <c r="T8" s="4">
        <f t="shared" ca="1" si="9"/>
        <v>14700</v>
      </c>
      <c r="U8" s="4">
        <f t="shared" ca="1" si="10"/>
        <v>60800</v>
      </c>
    </row>
    <row r="9" spans="1:21" x14ac:dyDescent="0.25">
      <c r="A9">
        <v>1006</v>
      </c>
      <c r="B9" s="3">
        <v>50000</v>
      </c>
      <c r="C9" s="3">
        <f t="shared" si="1"/>
        <v>250</v>
      </c>
      <c r="D9">
        <v>0</v>
      </c>
      <c r="E9">
        <v>0</v>
      </c>
      <c r="F9" s="4">
        <f t="shared" si="2"/>
        <v>0</v>
      </c>
      <c r="G9" t="s">
        <v>58</v>
      </c>
      <c r="H9">
        <v>1</v>
      </c>
      <c r="I9" s="3">
        <f t="shared" si="3"/>
        <v>200</v>
      </c>
      <c r="J9" s="3">
        <v>5000</v>
      </c>
      <c r="K9" s="3">
        <v>8000</v>
      </c>
      <c r="L9" s="5">
        <v>40204</v>
      </c>
      <c r="M9">
        <f t="shared" ca="1" si="4"/>
        <v>11</v>
      </c>
      <c r="N9" s="4">
        <f t="shared" ca="1" si="5"/>
        <v>11000</v>
      </c>
      <c r="O9" s="4">
        <f t="shared" ca="1" si="6"/>
        <v>69000</v>
      </c>
      <c r="P9" s="4">
        <f t="shared" si="7"/>
        <v>5200</v>
      </c>
      <c r="Q9" s="4">
        <f t="shared" ca="1" si="8"/>
        <v>7590</v>
      </c>
      <c r="R9" s="4">
        <f t="shared" ca="1" si="8"/>
        <v>4830.0000000000009</v>
      </c>
      <c r="S9" s="4">
        <f t="shared" ca="1" si="8"/>
        <v>2070</v>
      </c>
      <c r="T9" s="4">
        <f t="shared" ca="1" si="9"/>
        <v>14490</v>
      </c>
      <c r="U9" s="4">
        <f t="shared" ca="1" si="10"/>
        <v>59710</v>
      </c>
    </row>
    <row r="10" spans="1:21" x14ac:dyDescent="0.25">
      <c r="A10">
        <v>1007</v>
      </c>
      <c r="B10" s="3">
        <v>50000</v>
      </c>
      <c r="C10" s="3">
        <f t="shared" si="1"/>
        <v>250</v>
      </c>
      <c r="D10">
        <v>2</v>
      </c>
      <c r="E10">
        <v>0</v>
      </c>
      <c r="F10" s="4">
        <f t="shared" si="2"/>
        <v>750</v>
      </c>
      <c r="G10" t="s">
        <v>57</v>
      </c>
      <c r="H10">
        <v>2</v>
      </c>
      <c r="I10" s="3">
        <f t="shared" si="3"/>
        <v>900</v>
      </c>
      <c r="J10" s="3">
        <v>5000</v>
      </c>
      <c r="K10" s="3">
        <v>8000</v>
      </c>
      <c r="L10" s="5">
        <v>41320</v>
      </c>
      <c r="M10">
        <f t="shared" ca="1" si="4"/>
        <v>8</v>
      </c>
      <c r="N10" s="4">
        <f t="shared" ca="1" si="5"/>
        <v>8120</v>
      </c>
      <c r="O10" s="4">
        <f t="shared" ca="1" si="6"/>
        <v>66870</v>
      </c>
      <c r="P10" s="4">
        <f t="shared" si="7"/>
        <v>5900</v>
      </c>
      <c r="Q10" s="4">
        <f t="shared" ca="1" si="8"/>
        <v>7355.7</v>
      </c>
      <c r="R10" s="4">
        <f t="shared" ca="1" si="8"/>
        <v>4680.9000000000005</v>
      </c>
      <c r="S10" s="4">
        <f t="shared" ca="1" si="8"/>
        <v>2006.1</v>
      </c>
      <c r="T10" s="4">
        <f t="shared" ca="1" si="9"/>
        <v>14042.7</v>
      </c>
      <c r="U10" s="4">
        <f t="shared" ca="1" si="10"/>
        <v>58727.3</v>
      </c>
    </row>
    <row r="11" spans="1:21" x14ac:dyDescent="0.25">
      <c r="A11">
        <v>1008</v>
      </c>
      <c r="B11" s="3">
        <v>50000</v>
      </c>
      <c r="C11" s="3">
        <f t="shared" si="1"/>
        <v>250</v>
      </c>
      <c r="D11">
        <v>5</v>
      </c>
      <c r="E11">
        <v>1</v>
      </c>
      <c r="F11" s="4">
        <f t="shared" si="2"/>
        <v>2375</v>
      </c>
      <c r="G11" t="s">
        <v>58</v>
      </c>
      <c r="H11">
        <v>3</v>
      </c>
      <c r="I11" s="3">
        <f t="shared" si="3"/>
        <v>600</v>
      </c>
      <c r="J11" s="3">
        <v>5000</v>
      </c>
      <c r="K11" s="3">
        <v>8000</v>
      </c>
      <c r="L11" s="5">
        <v>44393</v>
      </c>
      <c r="M11">
        <f t="shared" ca="1" si="4"/>
        <v>0</v>
      </c>
      <c r="N11" s="4">
        <f t="shared" ca="1" si="5"/>
        <v>0</v>
      </c>
      <c r="O11" s="4">
        <f t="shared" ca="1" si="6"/>
        <v>60375</v>
      </c>
      <c r="P11" s="4">
        <f t="shared" si="7"/>
        <v>5600</v>
      </c>
      <c r="Q11" s="4">
        <f t="shared" ca="1" si="8"/>
        <v>6641.25</v>
      </c>
      <c r="R11" s="4">
        <f t="shared" ca="1" si="8"/>
        <v>4226.25</v>
      </c>
      <c r="S11" s="4">
        <f t="shared" ca="1" si="8"/>
        <v>1811.25</v>
      </c>
      <c r="T11" s="4">
        <f t="shared" ca="1" si="9"/>
        <v>12678.75</v>
      </c>
      <c r="U11" s="4">
        <f t="shared" ca="1" si="10"/>
        <v>53296.25</v>
      </c>
    </row>
    <row r="13" spans="1:21" x14ac:dyDescent="0.25">
      <c r="F13" t="s">
        <v>72</v>
      </c>
      <c r="I13" t="s">
        <v>75</v>
      </c>
      <c r="Q13" t="s">
        <v>77</v>
      </c>
    </row>
    <row r="14" spans="1:21" x14ac:dyDescent="0.25">
      <c r="F14" t="s">
        <v>73</v>
      </c>
      <c r="I14" t="s">
        <v>76</v>
      </c>
    </row>
  </sheetData>
  <mergeCells count="1"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Carlos</cp:lastModifiedBy>
  <dcterms:created xsi:type="dcterms:W3CDTF">2021-07-23T13:08:13Z</dcterms:created>
  <dcterms:modified xsi:type="dcterms:W3CDTF">2021-07-23T15:50:47Z</dcterms:modified>
</cp:coreProperties>
</file>