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13_ncr:1_{8E3C3E67-2C74-4E1A-BC6B-3ED889D98B1C}" xr6:coauthVersionLast="45" xr6:coauthVersionMax="45" xr10:uidLastSave="{00000000-0000-0000-0000-000000000000}"/>
  <bookViews>
    <workbookView xWindow="-120" yWindow="-120" windowWidth="19230" windowHeight="11670" activeTab="5" xr2:uid="{23084991-1FC5-4908-B834-CF4158A22FDF}"/>
  </bookViews>
  <sheets>
    <sheet name="Hoja1" sheetId="1" r:id="rId1"/>
    <sheet name="Hoja2" sheetId="2" r:id="rId2"/>
    <sheet name="Hoja3" sheetId="3" r:id="rId3"/>
    <sheet name="Hoja4" sheetId="4" r:id="rId4"/>
    <sheet name="Hoja5" sheetId="5" r:id="rId5"/>
    <sheet name="Hoja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4" i="6" l="1"/>
  <c r="E5" i="6"/>
  <c r="E7" i="6"/>
  <c r="E8" i="6"/>
  <c r="E9" i="6"/>
  <c r="E10" i="6"/>
  <c r="D4" i="6"/>
  <c r="D5" i="6"/>
  <c r="D6" i="6"/>
  <c r="E6" i="6" s="1"/>
  <c r="D7" i="6"/>
  <c r="D8" i="6"/>
  <c r="D9" i="6"/>
  <c r="D10" i="6"/>
  <c r="D3" i="6"/>
  <c r="E3" i="6" s="1"/>
  <c r="C4" i="5"/>
  <c r="E4" i="5" s="1"/>
  <c r="C5" i="5"/>
  <c r="E5" i="5" s="1"/>
  <c r="C6" i="5"/>
  <c r="E6" i="5" s="1"/>
  <c r="C7" i="5"/>
  <c r="E7" i="5" s="1"/>
  <c r="C3" i="5"/>
  <c r="E3" i="5" s="1"/>
  <c r="E8" i="5" s="1"/>
  <c r="F1" i="5"/>
  <c r="G3" i="5" s="1"/>
  <c r="A1" i="4"/>
  <c r="E4" i="4" s="1"/>
  <c r="D4" i="4"/>
  <c r="D6" i="4" s="1"/>
  <c r="D8" i="4" s="1"/>
  <c r="A1" i="3"/>
  <c r="F2" i="3" s="1"/>
  <c r="A2" i="3"/>
  <c r="A6" i="3" s="1"/>
  <c r="A3" i="3"/>
  <c r="E26" i="2"/>
  <c r="F22" i="2"/>
  <c r="F23" i="2"/>
  <c r="F24" i="2"/>
  <c r="F25" i="2"/>
  <c r="E22" i="2"/>
  <c r="E23" i="2"/>
  <c r="E24" i="2"/>
  <c r="E25" i="2"/>
  <c r="D25" i="2"/>
  <c r="D24" i="2"/>
  <c r="D23" i="2"/>
  <c r="D22" i="2"/>
  <c r="E13" i="2"/>
  <c r="E14" i="2"/>
  <c r="E15" i="2"/>
  <c r="E12" i="2"/>
  <c r="F3" i="2"/>
  <c r="D15" i="2"/>
  <c r="D14" i="2"/>
  <c r="D13" i="2"/>
  <c r="D12" i="2"/>
  <c r="E3" i="2"/>
  <c r="E4" i="2"/>
  <c r="E5" i="2"/>
  <c r="E6" i="2"/>
  <c r="F4" i="2"/>
  <c r="F5" i="2"/>
  <c r="F6" i="2"/>
  <c r="F7" i="2"/>
  <c r="D6" i="2"/>
  <c r="D4" i="2"/>
  <c r="D5" i="2"/>
  <c r="D3" i="2"/>
  <c r="A17" i="1"/>
  <c r="A16" i="1"/>
  <c r="A15" i="1"/>
  <c r="A12" i="1"/>
  <c r="A13" i="1"/>
  <c r="A11" i="1"/>
  <c r="A10" i="1"/>
  <c r="A9" i="1"/>
  <c r="A6" i="1"/>
  <c r="A8" i="1" s="1"/>
  <c r="D1" i="1"/>
  <c r="G7" i="5" l="1"/>
  <c r="G6" i="5"/>
  <c r="G5" i="5"/>
  <c r="G4" i="5"/>
  <c r="A12" i="4"/>
  <c r="E6" i="4"/>
  <c r="E10" i="4" s="1"/>
  <c r="D10" i="4"/>
  <c r="F6" i="3"/>
  <c r="F5" i="3"/>
  <c r="A8" i="3"/>
  <c r="A7" i="3"/>
  <c r="A5" i="3"/>
  <c r="A4" i="3"/>
  <c r="F12" i="2"/>
  <c r="F13" i="2"/>
  <c r="F14" i="2"/>
  <c r="F15" i="2"/>
  <c r="F16" i="2" l="1"/>
</calcChain>
</file>

<file path=xl/sharedStrings.xml><?xml version="1.0" encoding="utf-8"?>
<sst xmlns="http://schemas.openxmlformats.org/spreadsheetml/2006/main" count="63" uniqueCount="42">
  <si>
    <t>Articulo</t>
  </si>
  <si>
    <t>Precio x unidad</t>
  </si>
  <si>
    <t>cantidad</t>
  </si>
  <si>
    <t>Subtotal</t>
  </si>
  <si>
    <t>Valor IVA</t>
  </si>
  <si>
    <t>Total con IVA</t>
  </si>
  <si>
    <t>A1</t>
  </si>
  <si>
    <t>A2</t>
  </si>
  <si>
    <t>A3</t>
  </si>
  <si>
    <t>A4</t>
  </si>
  <si>
    <t>Total:</t>
  </si>
  <si>
    <t>Columna1</t>
  </si>
  <si>
    <t>A1 fecha actual</t>
  </si>
  <si>
    <t>D1 fecha inicial</t>
  </si>
  <si>
    <t>Vino</t>
  </si>
  <si>
    <t>Malbec</t>
  </si>
  <si>
    <t>Espumante</t>
  </si>
  <si>
    <t>Torrontes</t>
  </si>
  <si>
    <t>Mistela</t>
  </si>
  <si>
    <t>Cabernet</t>
  </si>
  <si>
    <t>Precio x Litro</t>
  </si>
  <si>
    <t>Precio x Litro U$D</t>
  </si>
  <si>
    <t>Cantidad Litros</t>
  </si>
  <si>
    <t>Fecha Cosecha</t>
  </si>
  <si>
    <t>Antigüedad</t>
  </si>
  <si>
    <t>Subtotal USD</t>
  </si>
  <si>
    <t>Pasajero</t>
  </si>
  <si>
    <t>Check In</t>
  </si>
  <si>
    <t>Check out</t>
  </si>
  <si>
    <t>Estadia</t>
  </si>
  <si>
    <t>Total a pagar</t>
  </si>
  <si>
    <t>P1</t>
  </si>
  <si>
    <t>P2</t>
  </si>
  <si>
    <t>P3</t>
  </si>
  <si>
    <t>P4</t>
  </si>
  <si>
    <t>P5</t>
  </si>
  <si>
    <t>P6</t>
  </si>
  <si>
    <t>P7</t>
  </si>
  <si>
    <t>P8</t>
  </si>
  <si>
    <t>Formula condicional</t>
  </si>
  <si>
    <t>Continuar:</t>
  </si>
  <si>
    <t>Formato condicional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</si>
</sst>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9" formatCode="_-[$USD]\ * #,##0.00_-;\-[$USD]\ * #,##0.00_-;_-[$USD]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44" fontId="0" fillId="0" borderId="0" xfId="1" applyFont="1"/>
    <xf numFmtId="44" fontId="0" fillId="0" borderId="0" xfId="0" applyNumberFormat="1"/>
    <xf numFmtId="9" fontId="0" fillId="0" borderId="0" xfId="0" applyNumberFormat="1"/>
    <xf numFmtId="0" fontId="2" fillId="0" borderId="0" xfId="0" applyFont="1"/>
    <xf numFmtId="44" fontId="2" fillId="0" borderId="0" xfId="0" applyNumberFormat="1" applyFont="1"/>
    <xf numFmtId="0" fontId="0" fillId="0" borderId="0" xfId="0" applyNumberFormat="1"/>
    <xf numFmtId="14" fontId="0" fillId="0" borderId="0" xfId="0" applyNumberFormat="1"/>
    <xf numFmtId="22" fontId="0" fillId="0" borderId="0" xfId="0" applyNumberFormat="1"/>
    <xf numFmtId="169" fontId="0" fillId="0" borderId="0" xfId="0" applyNumberFormat="1"/>
  </cellXfs>
  <cellStyles count="2">
    <cellStyle name="Moneda" xfId="1" builtinId="4"/>
    <cellStyle name="Normal" xfId="0" builtinId="0"/>
  </cellStyles>
  <dxfs count="8"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25E3D2-3000-4B2B-B335-59AEA7AEBC0B}" name="Tabla1" displayName="Tabla1" ref="A21:F25" totalsRowShown="0">
  <autoFilter ref="A21:F25" xr:uid="{11F896ED-C2C0-40FE-8F3D-6373DD36F239}"/>
  <tableColumns count="6">
    <tableColumn id="1" xr3:uid="{F812111D-DC8A-462D-8625-3097EA0037F2}" name="Articulo"/>
    <tableColumn id="2" xr3:uid="{1A458F82-3AFB-400C-9719-8088B7F4B978}" name="Precio x unidad" dataDxfId="7" dataCellStyle="Moneda"/>
    <tableColumn id="3" xr3:uid="{8A51D197-A8C5-4CE5-8EB8-564AFF3FE6A8}" name="cantidad"/>
    <tableColumn id="4" xr3:uid="{FF4AD9DF-7B0D-493E-98D1-24E6BEF3ACAE}" name="Subtotal" dataDxfId="6">
      <calculatedColumnFormula>B22*C22</calculatedColumnFormula>
    </tableColumn>
    <tableColumn id="5" xr3:uid="{46D11C98-1925-4C2B-B9AA-9AAF4639CDBE}" name="Total con IVA" dataDxfId="5">
      <calculatedColumnFormula>D22+D22*$E$20</calculatedColumnFormula>
    </tableColumn>
    <tableColumn id="6" xr3:uid="{2D9D27FE-B443-4950-9002-BF03198CFCFF}" name="Columna1" dataDxfId="4">
      <calculatedColumnFormula>D22*(1+$E$20)</calculatedColumnFormula>
    </tableColumn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43E26B-9A0E-4E0C-9890-C6989020725E}" name="Tabla2" displayName="Tabla2" ref="A11:F15" totalsRowShown="0">
  <autoFilter ref="A11:F15" xr:uid="{D2E0851F-3768-4E22-9BC6-0D1798B7C4D7}"/>
  <tableColumns count="6">
    <tableColumn id="1" xr3:uid="{AE45C2EA-FD0C-400A-9719-E4886EDF8F8C}" name="Articulo"/>
    <tableColumn id="2" xr3:uid="{0B698CD2-663B-4573-B899-69AFE82C6A62}" name="Precio x unidad" dataDxfId="3" dataCellStyle="Moneda"/>
    <tableColumn id="3" xr3:uid="{0A404770-2710-4809-AF60-71FF899A9253}" name="cantidad"/>
    <tableColumn id="4" xr3:uid="{1B226AF4-0418-444C-B7AC-EA2877290A90}" name="Subtotal" dataDxfId="2">
      <calculatedColumnFormula>B12*C12</calculatedColumnFormula>
    </tableColumn>
    <tableColumn id="5" xr3:uid="{A026EED9-189B-4519-BB98-C31552DEF894}" name="Valor IVA" dataDxfId="1">
      <calculatedColumnFormula>D12*$E$10</calculatedColumnFormula>
    </tableColumn>
    <tableColumn id="6" xr3:uid="{5C3FBA30-8CEC-4FE5-AB0A-E201DCB2596F}" name="Total con IVA" dataDxfId="0">
      <calculatedColumnFormula>D12+E12</calculatedColumnFormula>
    </tableColumn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CDF1F-5FA3-4B3C-8929-7BBDB9705F03}">
  <dimension ref="A1:D17"/>
  <sheetViews>
    <sheetView zoomScale="120" zoomScaleNormal="120" workbookViewId="0">
      <selection activeCell="A17" sqref="A17"/>
    </sheetView>
  </sheetViews>
  <sheetFormatPr baseColWidth="10" defaultRowHeight="15" x14ac:dyDescent="0.25"/>
  <cols>
    <col min="1" max="1" width="14" customWidth="1"/>
  </cols>
  <sheetData>
    <row r="1" spans="1:4" x14ac:dyDescent="0.25">
      <c r="A1" s="1">
        <v>12</v>
      </c>
      <c r="B1" s="1">
        <v>23</v>
      </c>
      <c r="D1">
        <f>A1+A2</f>
        <v>46</v>
      </c>
    </row>
    <row r="2" spans="1:4" x14ac:dyDescent="0.25">
      <c r="A2" s="1">
        <v>34</v>
      </c>
      <c r="B2" s="1">
        <v>29</v>
      </c>
    </row>
    <row r="3" spans="1:4" x14ac:dyDescent="0.25">
      <c r="A3" s="1">
        <v>39</v>
      </c>
      <c r="B3" s="1">
        <v>15</v>
      </c>
    </row>
    <row r="4" spans="1:4" x14ac:dyDescent="0.25">
      <c r="A4" s="1">
        <v>25.651213121200001</v>
      </c>
      <c r="B4" s="1">
        <v>13</v>
      </c>
    </row>
    <row r="6" spans="1:4" x14ac:dyDescent="0.25">
      <c r="A6">
        <f>SUM(A1:B4)</f>
        <v>190.65121312119999</v>
      </c>
    </row>
    <row r="8" spans="1:4" x14ac:dyDescent="0.25">
      <c r="A8">
        <f>A6/8</f>
        <v>23.831401640149998</v>
      </c>
    </row>
    <row r="9" spans="1:4" x14ac:dyDescent="0.25">
      <c r="A9">
        <f>SUM(A1:B4)/8</f>
        <v>23.831401640149998</v>
      </c>
    </row>
    <row r="10" spans="1:4" x14ac:dyDescent="0.25">
      <c r="A10">
        <f>AVERAGE(A1:B4)</f>
        <v>23.831401640149998</v>
      </c>
    </row>
    <row r="11" spans="1:4" x14ac:dyDescent="0.25">
      <c r="A11">
        <f>ROUND(A10,2)</f>
        <v>23.83</v>
      </c>
    </row>
    <row r="12" spans="1:4" x14ac:dyDescent="0.25">
      <c r="A12">
        <f>ROUNDUP(A10,2)</f>
        <v>23.84</v>
      </c>
    </row>
    <row r="13" spans="1:4" x14ac:dyDescent="0.25">
      <c r="A13" s="2">
        <f>ROUNDDOWN(AVERAGE(A1:B4),2)</f>
        <v>23.83</v>
      </c>
    </row>
    <row r="15" spans="1:4" x14ac:dyDescent="0.25">
      <c r="A15" s="2">
        <f>MIN(A1:B4)</f>
        <v>12</v>
      </c>
    </row>
    <row r="16" spans="1:4" x14ac:dyDescent="0.25">
      <c r="A16" s="2">
        <f>MAX(A1:B4)</f>
        <v>39</v>
      </c>
    </row>
    <row r="17" spans="1:1" x14ac:dyDescent="0.25">
      <c r="A17" s="2">
        <f>MAX(A1:B4)</f>
        <v>39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B3CDA-ED8B-4361-A309-2B7AA1B7A088}">
  <dimension ref="A1:F26"/>
  <sheetViews>
    <sheetView topLeftCell="A11" zoomScale="110" zoomScaleNormal="110" workbookViewId="0">
      <selection activeCell="A28" sqref="A28"/>
    </sheetView>
  </sheetViews>
  <sheetFormatPr baseColWidth="10" defaultRowHeight="15" x14ac:dyDescent="0.25"/>
  <cols>
    <col min="2" max="2" width="15.7109375" customWidth="1"/>
    <col min="5" max="5" width="19.140625" customWidth="1"/>
    <col min="6" max="6" width="14" customWidth="1"/>
  </cols>
  <sheetData>
    <row r="1" spans="1:6" x14ac:dyDescent="0.25">
      <c r="E1" s="3">
        <v>0.21</v>
      </c>
    </row>
    <row r="2" spans="1:6" ht="17.25" customHeight="1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25">
      <c r="A3" t="s">
        <v>6</v>
      </c>
      <c r="B3" s="1">
        <v>100</v>
      </c>
      <c r="C3">
        <v>20</v>
      </c>
      <c r="D3" s="2">
        <f>B3*C3</f>
        <v>2000</v>
      </c>
      <c r="E3" s="2">
        <f>D3*21%</f>
        <v>420</v>
      </c>
      <c r="F3" s="2">
        <f>D3+E3</f>
        <v>2420</v>
      </c>
    </row>
    <row r="4" spans="1:6" x14ac:dyDescent="0.25">
      <c r="A4" t="s">
        <v>7</v>
      </c>
      <c r="B4" s="1">
        <v>120</v>
      </c>
      <c r="C4">
        <v>30</v>
      </c>
      <c r="D4" s="2">
        <f t="shared" ref="D4:D6" si="0">B4*C4</f>
        <v>3600</v>
      </c>
      <c r="E4" s="2">
        <f t="shared" ref="E4:E6" si="1">D4*21%</f>
        <v>756</v>
      </c>
      <c r="F4" s="2">
        <f t="shared" ref="F4:F6" si="2">D4+E4</f>
        <v>4356</v>
      </c>
    </row>
    <row r="5" spans="1:6" x14ac:dyDescent="0.25">
      <c r="A5" t="s">
        <v>8</v>
      </c>
      <c r="B5" s="1">
        <v>140</v>
      </c>
      <c r="C5">
        <v>15</v>
      </c>
      <c r="D5" s="2">
        <f t="shared" si="0"/>
        <v>2100</v>
      </c>
      <c r="E5" s="2">
        <f t="shared" si="1"/>
        <v>441</v>
      </c>
      <c r="F5" s="2">
        <f t="shared" si="2"/>
        <v>2541</v>
      </c>
    </row>
    <row r="6" spans="1:6" x14ac:dyDescent="0.25">
      <c r="A6" t="s">
        <v>9</v>
      </c>
      <c r="B6" s="1">
        <v>160</v>
      </c>
      <c r="C6">
        <v>10</v>
      </c>
      <c r="D6" s="2">
        <f>B6*C6</f>
        <v>1600</v>
      </c>
      <c r="E6" s="2">
        <f t="shared" si="1"/>
        <v>336</v>
      </c>
      <c r="F6" s="2">
        <f t="shared" si="2"/>
        <v>1936</v>
      </c>
    </row>
    <row r="7" spans="1:6" x14ac:dyDescent="0.25">
      <c r="E7" s="4" t="s">
        <v>10</v>
      </c>
      <c r="F7" s="5">
        <f>SUM(F3:F6)</f>
        <v>11253</v>
      </c>
    </row>
    <row r="10" spans="1:6" x14ac:dyDescent="0.25">
      <c r="E10" s="3">
        <v>0.21</v>
      </c>
    </row>
    <row r="11" spans="1:6" x14ac:dyDescent="0.25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</row>
    <row r="12" spans="1:6" x14ac:dyDescent="0.25">
      <c r="A12" t="s">
        <v>6</v>
      </c>
      <c r="B12" s="1">
        <v>100</v>
      </c>
      <c r="C12">
        <v>20</v>
      </c>
      <c r="D12" s="2">
        <f>B12*C12</f>
        <v>2000</v>
      </c>
      <c r="E12" s="2">
        <f>D12*$E$10</f>
        <v>420</v>
      </c>
      <c r="F12" s="2">
        <f>D12+E12</f>
        <v>2420</v>
      </c>
    </row>
    <row r="13" spans="1:6" x14ac:dyDescent="0.25">
      <c r="A13" t="s">
        <v>7</v>
      </c>
      <c r="B13" s="1">
        <v>120</v>
      </c>
      <c r="C13">
        <v>30</v>
      </c>
      <c r="D13" s="2">
        <f t="shared" ref="D13:D14" si="3">B13*C13</f>
        <v>3600</v>
      </c>
      <c r="E13" s="2">
        <f t="shared" ref="E13:E15" si="4">D13*$E$10</f>
        <v>756</v>
      </c>
      <c r="F13" s="2">
        <f t="shared" ref="F13:F15" si="5">D13+E13</f>
        <v>4356</v>
      </c>
    </row>
    <row r="14" spans="1:6" x14ac:dyDescent="0.25">
      <c r="A14" t="s">
        <v>8</v>
      </c>
      <c r="B14" s="1">
        <v>140</v>
      </c>
      <c r="C14">
        <v>15</v>
      </c>
      <c r="D14" s="2">
        <f t="shared" si="3"/>
        <v>2100</v>
      </c>
      <c r="E14" s="2">
        <f t="shared" si="4"/>
        <v>441</v>
      </c>
      <c r="F14" s="2">
        <f t="shared" si="5"/>
        <v>2541</v>
      </c>
    </row>
    <row r="15" spans="1:6" x14ac:dyDescent="0.25">
      <c r="A15" t="s">
        <v>9</v>
      </c>
      <c r="B15" s="1">
        <v>160</v>
      </c>
      <c r="C15">
        <v>10</v>
      </c>
      <c r="D15" s="2">
        <f>B15*C15</f>
        <v>1600</v>
      </c>
      <c r="E15" s="2">
        <f t="shared" si="4"/>
        <v>336</v>
      </c>
      <c r="F15" s="2">
        <f t="shared" si="5"/>
        <v>1936</v>
      </c>
    </row>
    <row r="16" spans="1:6" x14ac:dyDescent="0.25">
      <c r="F16" s="5">
        <f>SUM(F12:F15)</f>
        <v>11253</v>
      </c>
    </row>
    <row r="20" spans="1:6" x14ac:dyDescent="0.25">
      <c r="E20" s="3">
        <v>0.21</v>
      </c>
    </row>
    <row r="21" spans="1:6" x14ac:dyDescent="0.25">
      <c r="A21" t="s">
        <v>0</v>
      </c>
      <c r="B21" t="s">
        <v>1</v>
      </c>
      <c r="C21" t="s">
        <v>2</v>
      </c>
      <c r="D21" t="s">
        <v>3</v>
      </c>
      <c r="E21" t="s">
        <v>5</v>
      </c>
      <c r="F21" t="s">
        <v>11</v>
      </c>
    </row>
    <row r="22" spans="1:6" x14ac:dyDescent="0.25">
      <c r="A22" t="s">
        <v>6</v>
      </c>
      <c r="B22" s="1">
        <v>100</v>
      </c>
      <c r="C22">
        <v>20</v>
      </c>
      <c r="D22" s="2">
        <f>B22*C22</f>
        <v>2000</v>
      </c>
      <c r="E22" s="2">
        <f>D22+D22*$E$20</f>
        <v>2420</v>
      </c>
      <c r="F22" s="2">
        <f>D22*(1+$E$20)</f>
        <v>2420</v>
      </c>
    </row>
    <row r="23" spans="1:6" x14ac:dyDescent="0.25">
      <c r="A23" t="s">
        <v>7</v>
      </c>
      <c r="B23" s="1">
        <v>120</v>
      </c>
      <c r="C23">
        <v>30</v>
      </c>
      <c r="D23" s="2">
        <f t="shared" ref="D23:D24" si="6">B23*C23</f>
        <v>3600</v>
      </c>
      <c r="E23" s="2">
        <f t="shared" ref="E23:E25" si="7">D23+D23*$E$20</f>
        <v>4356</v>
      </c>
      <c r="F23" s="2">
        <f t="shared" ref="F23:F25" si="8">D23*(1+$E$20)</f>
        <v>4356</v>
      </c>
    </row>
    <row r="24" spans="1:6" x14ac:dyDescent="0.25">
      <c r="A24" t="s">
        <v>8</v>
      </c>
      <c r="B24" s="1">
        <v>140</v>
      </c>
      <c r="C24">
        <v>15</v>
      </c>
      <c r="D24" s="2">
        <f t="shared" si="6"/>
        <v>2100</v>
      </c>
      <c r="E24" s="2">
        <f t="shared" si="7"/>
        <v>2541</v>
      </c>
      <c r="F24" s="2">
        <f t="shared" si="8"/>
        <v>2541</v>
      </c>
    </row>
    <row r="25" spans="1:6" x14ac:dyDescent="0.25">
      <c r="A25" t="s">
        <v>9</v>
      </c>
      <c r="B25" s="1">
        <v>160</v>
      </c>
      <c r="C25">
        <v>10</v>
      </c>
      <c r="D25" s="2">
        <f>B25*C25</f>
        <v>1600</v>
      </c>
      <c r="E25" s="2">
        <f t="shared" si="7"/>
        <v>1936</v>
      </c>
      <c r="F25" s="2">
        <f t="shared" si="8"/>
        <v>1936</v>
      </c>
    </row>
    <row r="26" spans="1:6" x14ac:dyDescent="0.25">
      <c r="D26" s="4" t="s">
        <v>10</v>
      </c>
      <c r="E26" s="5">
        <f>SUM(E22:E25)</f>
        <v>11253</v>
      </c>
    </row>
  </sheetData>
  <phoneticPr fontId="3" type="noConversion"/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2D683-B52C-4823-91EE-B5B7663154EC}">
  <dimension ref="A1:F8"/>
  <sheetViews>
    <sheetView workbookViewId="0">
      <selection activeCell="F6" sqref="F6"/>
    </sheetView>
  </sheetViews>
  <sheetFormatPr baseColWidth="10" defaultRowHeight="15" x14ac:dyDescent="0.25"/>
  <cols>
    <col min="1" max="1" width="18" customWidth="1"/>
    <col min="3" max="3" width="18.7109375" customWidth="1"/>
  </cols>
  <sheetData>
    <row r="1" spans="1:6" x14ac:dyDescent="0.25">
      <c r="A1" s="7">
        <f ca="1">TODAY()</f>
        <v>44397</v>
      </c>
      <c r="C1" s="7">
        <v>44397</v>
      </c>
      <c r="F1" s="7">
        <v>44393</v>
      </c>
    </row>
    <row r="2" spans="1:6" x14ac:dyDescent="0.25">
      <c r="A2" s="8">
        <f ca="1">NOW()</f>
        <v>44397.536107291664</v>
      </c>
      <c r="F2">
        <f ca="1">A1-F1</f>
        <v>4</v>
      </c>
    </row>
    <row r="3" spans="1:6" x14ac:dyDescent="0.25">
      <c r="A3">
        <f ca="1">DAY(A1)</f>
        <v>20</v>
      </c>
    </row>
    <row r="4" spans="1:6" x14ac:dyDescent="0.25">
      <c r="A4">
        <f ca="1">MONTH(A1)</f>
        <v>7</v>
      </c>
    </row>
    <row r="5" spans="1:6" x14ac:dyDescent="0.25">
      <c r="A5">
        <f ca="1">YEAR(A1)</f>
        <v>2021</v>
      </c>
      <c r="F5" s="7">
        <f ca="1">A1+45</f>
        <v>44442</v>
      </c>
    </row>
    <row r="6" spans="1:6" x14ac:dyDescent="0.25">
      <c r="A6">
        <f ca="1">HOUR(A2)</f>
        <v>12</v>
      </c>
      <c r="F6" s="7">
        <f ca="1">A1-28</f>
        <v>44369</v>
      </c>
    </row>
    <row r="7" spans="1:6" x14ac:dyDescent="0.25">
      <c r="A7">
        <f ca="1">MINUTE(A2)</f>
        <v>52</v>
      </c>
    </row>
    <row r="8" spans="1:6" x14ac:dyDescent="0.25">
      <c r="A8">
        <f ca="1">SECOND(A2)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15A7E-33CD-4E4E-A1B8-747F93E7B35E}">
  <dimension ref="A1:E14"/>
  <sheetViews>
    <sheetView zoomScale="120" zoomScaleNormal="120" workbookViewId="0">
      <selection activeCell="A13" sqref="A13"/>
    </sheetView>
  </sheetViews>
  <sheetFormatPr baseColWidth="10" defaultRowHeight="15" x14ac:dyDescent="0.25"/>
  <cols>
    <col min="1" max="1" width="12.140625" bestFit="1" customWidth="1"/>
    <col min="4" max="4" width="12.140625" bestFit="1" customWidth="1"/>
  </cols>
  <sheetData>
    <row r="1" spans="1:5" x14ac:dyDescent="0.25">
      <c r="A1" s="7">
        <f ca="1">TODAY()</f>
        <v>44397</v>
      </c>
      <c r="D1" s="7">
        <v>26697</v>
      </c>
    </row>
    <row r="4" spans="1:5" x14ac:dyDescent="0.25">
      <c r="D4">
        <f ca="1">A1-D1</f>
        <v>17700</v>
      </c>
      <c r="E4">
        <f ca="1">DAYS360(D1,A1)</f>
        <v>17448</v>
      </c>
    </row>
    <row r="6" spans="1:5" x14ac:dyDescent="0.25">
      <c r="D6">
        <f ca="1">D4/365</f>
        <v>48.493150684931507</v>
      </c>
      <c r="E6">
        <f ca="1">E4/360</f>
        <v>48.466666666666669</v>
      </c>
    </row>
    <row r="8" spans="1:5" x14ac:dyDescent="0.25">
      <c r="D8">
        <f ca="1">ROUNDDOWN(D6,0)</f>
        <v>48</v>
      </c>
    </row>
    <row r="10" spans="1:5" x14ac:dyDescent="0.25">
      <c r="D10">
        <f ca="1">INT(D6)</f>
        <v>48</v>
      </c>
      <c r="E10">
        <f ca="1">INT(E6)</f>
        <v>48</v>
      </c>
    </row>
    <row r="12" spans="1:5" x14ac:dyDescent="0.25">
      <c r="A12">
        <f ca="1">INT(DAYS360(D1,A1)/360)</f>
        <v>48</v>
      </c>
    </row>
    <row r="13" spans="1:5" x14ac:dyDescent="0.25">
      <c r="A13" t="s">
        <v>12</v>
      </c>
    </row>
    <row r="14" spans="1:5" x14ac:dyDescent="0.25">
      <c r="A14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84436-3656-4D44-8ED7-10EF9349D07F}">
  <dimension ref="A1:G8"/>
  <sheetViews>
    <sheetView zoomScale="130" zoomScaleNormal="130" workbookViewId="0">
      <selection activeCell="A9" sqref="A9"/>
    </sheetView>
  </sheetViews>
  <sheetFormatPr baseColWidth="10" defaultRowHeight="15" x14ac:dyDescent="0.25"/>
  <cols>
    <col min="2" max="2" width="12.42578125" bestFit="1" customWidth="1"/>
    <col min="3" max="3" width="16.5703125" bestFit="1" customWidth="1"/>
    <col min="4" max="4" width="14.140625" bestFit="1" customWidth="1"/>
    <col min="5" max="5" width="15.140625" bestFit="1" customWidth="1"/>
    <col min="6" max="6" width="13.85546875" bestFit="1" customWidth="1"/>
  </cols>
  <sheetData>
    <row r="1" spans="1:7" x14ac:dyDescent="0.25">
      <c r="C1" s="1">
        <v>108</v>
      </c>
      <c r="F1" s="7">
        <f ca="1">TODAY()</f>
        <v>44397</v>
      </c>
    </row>
    <row r="2" spans="1:7" x14ac:dyDescent="0.25">
      <c r="A2" t="s">
        <v>14</v>
      </c>
      <c r="B2" t="s">
        <v>20</v>
      </c>
      <c r="C2" t="s">
        <v>21</v>
      </c>
      <c r="D2" t="s">
        <v>22</v>
      </c>
      <c r="E2" t="s">
        <v>25</v>
      </c>
      <c r="F2" t="s">
        <v>23</v>
      </c>
      <c r="G2" t="s">
        <v>24</v>
      </c>
    </row>
    <row r="3" spans="1:7" x14ac:dyDescent="0.25">
      <c r="A3" t="s">
        <v>15</v>
      </c>
      <c r="B3" s="1">
        <v>120</v>
      </c>
      <c r="C3" s="9">
        <f>B3/$C$1</f>
        <v>1.1111111111111112</v>
      </c>
      <c r="D3">
        <v>3700</v>
      </c>
      <c r="E3" s="9">
        <f>C3*D3</f>
        <v>4111.1111111111113</v>
      </c>
      <c r="F3" s="7">
        <v>43120</v>
      </c>
      <c r="G3">
        <f ca="1">INT(DAYS360(F3,$F$1)/360)</f>
        <v>3</v>
      </c>
    </row>
    <row r="4" spans="1:7" x14ac:dyDescent="0.25">
      <c r="A4" t="s">
        <v>16</v>
      </c>
      <c r="B4" s="1">
        <v>130</v>
      </c>
      <c r="C4" s="9">
        <f t="shared" ref="C4:C7" si="0">B4/$C$1</f>
        <v>1.2037037037037037</v>
      </c>
      <c r="D4">
        <v>2500</v>
      </c>
      <c r="E4" s="9">
        <f t="shared" ref="E4:E7" si="1">C4*D4</f>
        <v>3009.2592592592591</v>
      </c>
      <c r="F4" s="7">
        <v>42415</v>
      </c>
      <c r="G4">
        <f t="shared" ref="G4:G7" ca="1" si="2">INT(DAYS360(F4,$F$1)/360)</f>
        <v>5</v>
      </c>
    </row>
    <row r="5" spans="1:7" x14ac:dyDescent="0.25">
      <c r="A5" t="s">
        <v>17</v>
      </c>
      <c r="B5" s="1">
        <v>115</v>
      </c>
      <c r="C5" s="9">
        <f t="shared" si="0"/>
        <v>1.0648148148148149</v>
      </c>
      <c r="D5">
        <v>6000</v>
      </c>
      <c r="E5" s="9">
        <f t="shared" si="1"/>
        <v>6388.8888888888896</v>
      </c>
      <c r="F5" s="7">
        <v>42083</v>
      </c>
      <c r="G5">
        <f t="shared" ca="1" si="2"/>
        <v>6</v>
      </c>
    </row>
    <row r="6" spans="1:7" x14ac:dyDescent="0.25">
      <c r="A6" t="s">
        <v>18</v>
      </c>
      <c r="B6" s="1">
        <v>160</v>
      </c>
      <c r="C6" s="9">
        <f t="shared" si="0"/>
        <v>1.4814814814814814</v>
      </c>
      <c r="D6">
        <v>1300</v>
      </c>
      <c r="E6" s="9">
        <f t="shared" si="1"/>
        <v>1925.9259259259259</v>
      </c>
      <c r="F6" s="7">
        <v>41685</v>
      </c>
      <c r="G6">
        <f t="shared" ca="1" si="2"/>
        <v>7</v>
      </c>
    </row>
    <row r="7" spans="1:7" x14ac:dyDescent="0.25">
      <c r="A7" t="s">
        <v>19</v>
      </c>
      <c r="B7" s="1">
        <v>147</v>
      </c>
      <c r="C7" s="9">
        <f t="shared" si="0"/>
        <v>1.3611111111111112</v>
      </c>
      <c r="D7">
        <v>1280</v>
      </c>
      <c r="E7" s="9">
        <f t="shared" si="1"/>
        <v>1742.2222222222222</v>
      </c>
      <c r="F7" s="7">
        <v>43575</v>
      </c>
      <c r="G7">
        <f t="shared" ca="1" si="2"/>
        <v>2</v>
      </c>
    </row>
    <row r="8" spans="1:7" x14ac:dyDescent="0.25">
      <c r="D8" s="4" t="s">
        <v>10</v>
      </c>
      <c r="E8" s="9">
        <f>SUM(E3:E7)</f>
        <v>17177.407407407405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D707F-35E3-4277-8E4D-526035123F57}">
  <dimension ref="A1:E14"/>
  <sheetViews>
    <sheetView tabSelected="1" workbookViewId="0">
      <selection activeCell="A15" sqref="A15"/>
    </sheetView>
  </sheetViews>
  <sheetFormatPr baseColWidth="10" defaultRowHeight="15" x14ac:dyDescent="0.25"/>
  <cols>
    <col min="4" max="4" width="14.28515625" customWidth="1"/>
    <col min="5" max="5" width="16.7109375" bestFit="1" customWidth="1"/>
  </cols>
  <sheetData>
    <row r="1" spans="1:5" x14ac:dyDescent="0.25">
      <c r="D1" s="1">
        <v>3700</v>
      </c>
    </row>
    <row r="2" spans="1:5" x14ac:dyDescent="0.25">
      <c r="A2" t="s">
        <v>26</v>
      </c>
      <c r="B2" t="s">
        <v>27</v>
      </c>
      <c r="C2" t="s">
        <v>28</v>
      </c>
      <c r="D2" t="s">
        <v>29</v>
      </c>
      <c r="E2" t="s">
        <v>30</v>
      </c>
    </row>
    <row r="3" spans="1:5" x14ac:dyDescent="0.25">
      <c r="A3" t="s">
        <v>31</v>
      </c>
      <c r="B3" s="7">
        <v>44384</v>
      </c>
      <c r="C3" s="7">
        <v>44397</v>
      </c>
      <c r="D3" s="6">
        <f>C3-B3</f>
        <v>13</v>
      </c>
      <c r="E3" s="2">
        <f>D3*$D$1</f>
        <v>48100</v>
      </c>
    </row>
    <row r="4" spans="1:5" x14ac:dyDescent="0.25">
      <c r="A4" t="s">
        <v>32</v>
      </c>
      <c r="B4" s="7">
        <v>44387</v>
      </c>
      <c r="D4" s="6">
        <f t="shared" ref="D4:D10" si="0">C4-B4</f>
        <v>-44387</v>
      </c>
      <c r="E4" s="2">
        <f t="shared" ref="E4:E10" si="1">D4*$D$1</f>
        <v>-164231900</v>
      </c>
    </row>
    <row r="5" spans="1:5" x14ac:dyDescent="0.25">
      <c r="A5" t="s">
        <v>33</v>
      </c>
      <c r="B5" s="7">
        <v>44389</v>
      </c>
      <c r="D5" s="6">
        <f t="shared" si="0"/>
        <v>-44389</v>
      </c>
      <c r="E5" s="2">
        <f t="shared" si="1"/>
        <v>-164239300</v>
      </c>
    </row>
    <row r="6" spans="1:5" x14ac:dyDescent="0.25">
      <c r="A6" t="s">
        <v>34</v>
      </c>
      <c r="B6" s="7">
        <v>44392</v>
      </c>
      <c r="C6" s="7">
        <v>44397</v>
      </c>
      <c r="D6" s="6">
        <f t="shared" si="0"/>
        <v>5</v>
      </c>
      <c r="E6" s="2">
        <f t="shared" si="1"/>
        <v>18500</v>
      </c>
    </row>
    <row r="7" spans="1:5" x14ac:dyDescent="0.25">
      <c r="A7" t="s">
        <v>35</v>
      </c>
      <c r="B7" s="7">
        <v>44384</v>
      </c>
      <c r="D7" s="6">
        <f t="shared" si="0"/>
        <v>-44384</v>
      </c>
      <c r="E7" s="2">
        <f t="shared" si="1"/>
        <v>-164220800</v>
      </c>
    </row>
    <row r="8" spans="1:5" x14ac:dyDescent="0.25">
      <c r="A8" t="s">
        <v>36</v>
      </c>
      <c r="B8" s="7">
        <v>44387</v>
      </c>
      <c r="D8" s="6">
        <f t="shared" si="0"/>
        <v>-44387</v>
      </c>
      <c r="E8" s="2">
        <f t="shared" si="1"/>
        <v>-164231900</v>
      </c>
    </row>
    <row r="9" spans="1:5" x14ac:dyDescent="0.25">
      <c r="A9" t="s">
        <v>37</v>
      </c>
      <c r="B9" s="7">
        <v>44389</v>
      </c>
      <c r="D9" s="6">
        <f t="shared" si="0"/>
        <v>-44389</v>
      </c>
      <c r="E9" s="2">
        <f t="shared" si="1"/>
        <v>-164239300</v>
      </c>
    </row>
    <row r="10" spans="1:5" x14ac:dyDescent="0.25">
      <c r="A10" t="s">
        <v>38</v>
      </c>
      <c r="B10" s="7">
        <v>44392</v>
      </c>
      <c r="D10" s="6">
        <f t="shared" si="0"/>
        <v>-44392</v>
      </c>
      <c r="E10" s="2">
        <f t="shared" si="1"/>
        <v>-164250400</v>
      </c>
    </row>
    <row r="12" spans="1:5" x14ac:dyDescent="0.25">
      <c r="A12" t="s">
        <v>40</v>
      </c>
    </row>
    <row r="13" spans="1:5" x14ac:dyDescent="0.25">
      <c r="A13" t="s">
        <v>39</v>
      </c>
    </row>
    <row r="14" spans="1:5" x14ac:dyDescent="0.25">
      <c r="A14" t="s">
        <v>41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Hoja1</vt:lpstr>
      <vt:lpstr>Hoja2</vt:lpstr>
      <vt:lpstr>Hoja3</vt:lpstr>
      <vt:lpstr>Hoja4</vt:lpstr>
      <vt:lpstr>Hoja5</vt:lpstr>
      <vt:lpstr>Hoja6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</dc:creator>
  <cp:lastModifiedBy>Carlos</cp:lastModifiedBy>
  <dcterms:created xsi:type="dcterms:W3CDTF">2021-07-20T13:09:22Z</dcterms:created>
  <dcterms:modified xsi:type="dcterms:W3CDTF">2021-07-20T15:52:14Z</dcterms:modified>
</cp:coreProperties>
</file>