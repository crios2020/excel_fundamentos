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heets/sheet1.xml" ContentType="application/vnd.openxmlformats-officedocument.spreadsheetml.chart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Z:\"/>
    </mc:Choice>
  </mc:AlternateContent>
  <xr:revisionPtr revIDLastSave="0" documentId="13_ncr:1_{69606AC1-008E-4A6C-A1D8-4793AFCABCB5}" xr6:coauthVersionLast="45" xr6:coauthVersionMax="45" xr10:uidLastSave="{00000000-0000-0000-0000-000000000000}"/>
  <bookViews>
    <workbookView xWindow="-120" yWindow="-120" windowWidth="19890" windowHeight="11595" activeTab="3" xr2:uid="{E61F22A6-2E33-4C9A-9E5E-F0D55D6654FF}"/>
  </bookViews>
  <sheets>
    <sheet name="Hoja1" sheetId="1" r:id="rId1"/>
    <sheet name="Hoja2" sheetId="2" r:id="rId2"/>
    <sheet name="Gráfico1" sheetId="4" r:id="rId3"/>
    <sheet name="Hoja3" sheetId="3" r:id="rId4"/>
  </sheets>
  <definedNames>
    <definedName name="combo">Hoja3!$A:$A</definedName>
    <definedName name="importe">Hoja1!$D:$D</definedName>
    <definedName name="mes">Hoja1!$C:$C</definedName>
    <definedName name="motivo">Hoja1!$B:$B</definedName>
    <definedName name="sucursal">Hoja1!$A:$A</definedName>
    <definedName name="total">Hoja3!$D:$D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11" i="3" l="1"/>
  <c r="I8" i="3"/>
  <c r="I9" i="3"/>
  <c r="I10" i="3"/>
  <c r="I7" i="3"/>
  <c r="H8" i="3"/>
  <c r="H9" i="3"/>
  <c r="H10" i="3"/>
  <c r="H7" i="3"/>
  <c r="D3" i="3"/>
  <c r="D4" i="3"/>
  <c r="D5" i="3"/>
  <c r="D6" i="3"/>
  <c r="D7" i="3"/>
  <c r="D8" i="3"/>
  <c r="D9" i="3"/>
  <c r="D10" i="3"/>
  <c r="C25" i="2"/>
  <c r="D25" i="2"/>
  <c r="D23" i="2"/>
  <c r="D24" i="2"/>
  <c r="D26" i="2"/>
  <c r="D22" i="2"/>
  <c r="D27" i="2" s="1"/>
  <c r="C23" i="2"/>
  <c r="C24" i="2"/>
  <c r="C26" i="2"/>
  <c r="C22" i="2"/>
  <c r="C27" i="2" s="1"/>
  <c r="D14" i="2"/>
  <c r="D15" i="2"/>
  <c r="D16" i="2"/>
  <c r="D17" i="2"/>
  <c r="C14" i="2"/>
  <c r="C15" i="2"/>
  <c r="C16" i="2"/>
  <c r="C17" i="2"/>
  <c r="D9" i="2"/>
  <c r="C9" i="2"/>
  <c r="D8" i="2"/>
  <c r="C8" i="2"/>
  <c r="D7" i="2"/>
  <c r="C7" i="2"/>
  <c r="D6" i="2"/>
  <c r="D10" i="2" s="1"/>
  <c r="C6" i="2"/>
  <c r="C10" i="2" s="1"/>
  <c r="I5" i="1"/>
  <c r="I6" i="1"/>
  <c r="I7" i="1"/>
  <c r="I8" i="1"/>
  <c r="H9" i="1"/>
  <c r="H5" i="1"/>
  <c r="H6" i="1"/>
  <c r="H7" i="1"/>
  <c r="H8" i="1"/>
  <c r="C1" i="2"/>
  <c r="H1" i="1"/>
  <c r="C18" i="2" l="1"/>
  <c r="D18" i="2"/>
</calcChain>
</file>

<file path=xl/sharedStrings.xml><?xml version="1.0" encoding="utf-8"?>
<sst xmlns="http://schemas.openxmlformats.org/spreadsheetml/2006/main" count="151" uniqueCount="44">
  <si>
    <t>Sucursal</t>
  </si>
  <si>
    <t>Motivo</t>
  </si>
  <si>
    <t>Mes</t>
  </si>
  <si>
    <t>Importe</t>
  </si>
  <si>
    <t>S1</t>
  </si>
  <si>
    <t>S2</t>
  </si>
  <si>
    <t>S3</t>
  </si>
  <si>
    <t>S4</t>
  </si>
  <si>
    <t>Electricidad</t>
  </si>
  <si>
    <t>Gas</t>
  </si>
  <si>
    <t>Telefono</t>
  </si>
  <si>
    <t>Agua</t>
  </si>
  <si>
    <t>Enero</t>
  </si>
  <si>
    <t>Febrero</t>
  </si>
  <si>
    <t>Marzo</t>
  </si>
  <si>
    <t>Abril</t>
  </si>
  <si>
    <t>Total:</t>
  </si>
  <si>
    <t>Mayo</t>
  </si>
  <si>
    <t>Total Facturas:</t>
  </si>
  <si>
    <t>Sucursales</t>
  </si>
  <si>
    <t>Sucursal 1</t>
  </si>
  <si>
    <t>Sucursal 2</t>
  </si>
  <si>
    <t>Sucursal 3</t>
  </si>
  <si>
    <t>Sucursal 4</t>
  </si>
  <si>
    <t>Cantidad</t>
  </si>
  <si>
    <t>Teléfono</t>
  </si>
  <si>
    <t>Combo</t>
  </si>
  <si>
    <t>Valor</t>
  </si>
  <si>
    <t>Agrandado</t>
  </si>
  <si>
    <t>Total</t>
  </si>
  <si>
    <t>C1</t>
  </si>
  <si>
    <t>C2</t>
  </si>
  <si>
    <t>C4</t>
  </si>
  <si>
    <t>C3</t>
  </si>
  <si>
    <t>SI</t>
  </si>
  <si>
    <t>NO</t>
  </si>
  <si>
    <t xml:space="preserve">*=si(c3="SI";$c$1+b3;b3) </t>
  </si>
  <si>
    <t>Combos</t>
  </si>
  <si>
    <t>Combo 1</t>
  </si>
  <si>
    <t>Combo 2</t>
  </si>
  <si>
    <t>Combo 3</t>
  </si>
  <si>
    <t>Combo 4</t>
  </si>
  <si>
    <t>cantidad</t>
  </si>
  <si>
    <t>Total 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</si>
</sst>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7" formatCode="&quot;$&quot;\ #,##0.00;\-&quot;$&quot;\ #,##0.00"/>
    <numFmt numFmtId="44" formatCode="_-&quot;$&quot;\ * #,##0.00_-;\-&quot;$&quot;\ * #,##0.00_-;_-&quot;$&quot;\ * &quot;-&quot;??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0" fontId="2" fillId="2" borderId="1" applyNumberFormat="0" applyAlignment="0" applyProtection="0"/>
    <xf numFmtId="0" fontId="4" fillId="0" borderId="2" applyNumberFormat="0" applyFill="0" applyAlignment="0" applyProtection="0"/>
  </cellStyleXfs>
  <cellXfs count="13">
    <xf numFmtId="0" fontId="0" fillId="0" borderId="0" xfId="0"/>
    <xf numFmtId="44" fontId="0" fillId="0" borderId="0" xfId="1" applyFont="1"/>
    <xf numFmtId="0" fontId="4" fillId="0" borderId="0" xfId="0" applyFont="1"/>
    <xf numFmtId="44" fontId="0" fillId="0" borderId="0" xfId="0" applyNumberFormat="1"/>
    <xf numFmtId="0" fontId="5" fillId="0" borderId="0" xfId="0" applyFont="1"/>
    <xf numFmtId="0" fontId="7" fillId="0" borderId="0" xfId="0" applyFont="1"/>
    <xf numFmtId="44" fontId="4" fillId="0" borderId="0" xfId="0" applyNumberFormat="1" applyFont="1"/>
    <xf numFmtId="0" fontId="2" fillId="2" borderId="1" xfId="2"/>
    <xf numFmtId="44" fontId="2" fillId="2" borderId="1" xfId="2" applyNumberFormat="1"/>
    <xf numFmtId="0" fontId="4" fillId="2" borderId="2" xfId="3" applyFill="1"/>
    <xf numFmtId="44" fontId="4" fillId="2" borderId="2" xfId="3" applyNumberFormat="1" applyFill="1"/>
    <xf numFmtId="7" fontId="2" fillId="2" borderId="1" xfId="2" applyNumberFormat="1" applyAlignment="1">
      <alignment horizontal="left"/>
    </xf>
    <xf numFmtId="44" fontId="3" fillId="2" borderId="1" xfId="2" applyNumberFormat="1" applyFont="1"/>
  </cellXfs>
  <cellStyles count="4">
    <cellStyle name="Cálculo" xfId="2" builtinId="22"/>
    <cellStyle name="Moneda" xfId="1" builtinId="4"/>
    <cellStyle name="Normal" xfId="0" builtinId="0"/>
    <cellStyle name="Total" xfId="3" builtinId="2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chartsheet" Target="chartsheets/sheet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Hoja2!$D$5</c:f>
              <c:strCache>
                <c:ptCount val="1"/>
                <c:pt idx="0">
                  <c:v>Importe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shade val="95000"/>
                </a:schemeClr>
              </a:contourClr>
            </a:sp3d>
          </c:spPr>
          <c:invertIfNegative val="0"/>
          <c:dPt>
            <c:idx val="1"/>
            <c:invertIfNegative val="0"/>
            <c:bubble3D val="0"/>
            <c:spPr>
              <a:solidFill>
                <a:schemeClr val="accent2"/>
              </a:soli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1">
                    <a:shade val="9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2A2-4908-BF0E-ACF7735220F8}"/>
              </c:ext>
            </c:extLst>
          </c:dPt>
          <c:cat>
            <c:strRef>
              <c:f>Hoja2!$B$6:$B$9</c:f>
              <c:strCache>
                <c:ptCount val="4"/>
                <c:pt idx="0">
                  <c:v>Sucursal 1</c:v>
                </c:pt>
                <c:pt idx="1">
                  <c:v>Sucursal 2</c:v>
                </c:pt>
                <c:pt idx="2">
                  <c:v>Sucursal 3</c:v>
                </c:pt>
                <c:pt idx="3">
                  <c:v>Sucursal 4</c:v>
                </c:pt>
              </c:strCache>
            </c:strRef>
          </c:cat>
          <c:val>
            <c:numRef>
              <c:f>Hoja2!$D$6:$D$9</c:f>
              <c:numCache>
                <c:formatCode>"$"#,##0.00_);\("$"#,##0.00\)</c:formatCode>
                <c:ptCount val="4"/>
                <c:pt idx="0">
                  <c:v>9180.1720000000005</c:v>
                </c:pt>
                <c:pt idx="1">
                  <c:v>17580</c:v>
                </c:pt>
                <c:pt idx="2">
                  <c:v>31100</c:v>
                </c:pt>
                <c:pt idx="3">
                  <c:v>22400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A2-4908-BF0E-ACF7735220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701606208"/>
        <c:axId val="818637552"/>
        <c:axId val="0"/>
      </c:bar3DChart>
      <c:catAx>
        <c:axId val="701606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818637552"/>
        <c:crosses val="autoZero"/>
        <c:auto val="1"/>
        <c:lblAlgn val="ctr"/>
        <c:lblOffset val="100"/>
        <c:noMultiLvlLbl val="0"/>
      </c:catAx>
      <c:valAx>
        <c:axId val="818637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_);\(&quot;$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7016062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50"/>
      <c:rotY val="0"/>
      <c:depthPercent val="100"/>
      <c:rAngAx val="0"/>
      <c:perspective val="6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Hoja2!$D$13</c:f>
              <c:strCache>
                <c:ptCount val="1"/>
                <c:pt idx="0">
                  <c:v>Importe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Hoja2!$B$14:$B$17</c:f>
              <c:strCache>
                <c:ptCount val="4"/>
                <c:pt idx="0">
                  <c:v>Electricidad</c:v>
                </c:pt>
                <c:pt idx="1">
                  <c:v>Gas</c:v>
                </c:pt>
                <c:pt idx="2">
                  <c:v>Teléfono</c:v>
                </c:pt>
                <c:pt idx="3">
                  <c:v>Agua</c:v>
                </c:pt>
              </c:strCache>
            </c:strRef>
          </c:cat>
          <c:val>
            <c:numRef>
              <c:f>Hoja2!$D$14:$D$17</c:f>
              <c:numCache>
                <c:formatCode>_("$"* #,##0.00_);_("$"* \(#,##0.00\);_("$"* "-"??_);_(@_)</c:formatCode>
                <c:ptCount val="4"/>
                <c:pt idx="0">
                  <c:v>13320.172</c:v>
                </c:pt>
                <c:pt idx="1">
                  <c:v>16100</c:v>
                </c:pt>
                <c:pt idx="2">
                  <c:v>21340</c:v>
                </c:pt>
                <c:pt idx="3">
                  <c:v>29500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31-4901-B2BC-15169696770F}"/>
            </c:ext>
          </c:extLst>
        </c:ser>
        <c:dLbls>
          <c:dLblPos val="in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Hoja2!$D$21</c:f>
              <c:strCache>
                <c:ptCount val="1"/>
                <c:pt idx="0">
                  <c:v>Importe</c:v>
                </c:pt>
              </c:strCache>
            </c:strRef>
          </c:tx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Hoja2!$B$22:$B$26</c:f>
              <c:strCache>
                <c:ptCount val="5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</c:strCache>
            </c:strRef>
          </c:cat>
          <c:val>
            <c:numRef>
              <c:f>Hoja2!$D$22:$D$26</c:f>
              <c:numCache>
                <c:formatCode>_("$"* #,##0.00_);_("$"* \(#,##0.00\);_("$"* "-"??_);_(@_)</c:formatCode>
                <c:ptCount val="5"/>
                <c:pt idx="0">
                  <c:v>7080.1720000000005</c:v>
                </c:pt>
                <c:pt idx="1">
                  <c:v>16500</c:v>
                </c:pt>
                <c:pt idx="2">
                  <c:v>19750</c:v>
                </c:pt>
                <c:pt idx="3">
                  <c:v>19130</c:v>
                </c:pt>
                <c:pt idx="4">
                  <c:v>17800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F8C-459B-83F9-6BB795FB3B3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827993952"/>
        <c:axId val="818684560"/>
      </c:lineChart>
      <c:catAx>
        <c:axId val="827993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818684560"/>
        <c:crosses val="autoZero"/>
        <c:auto val="1"/>
        <c:lblAlgn val="ctr"/>
        <c:lblOffset val="100"/>
        <c:noMultiLvlLbl val="0"/>
      </c:catAx>
      <c:valAx>
        <c:axId val="818684560"/>
        <c:scaling>
          <c:orientation val="minMax"/>
        </c:scaling>
        <c:delete val="1"/>
        <c:axPos val="l"/>
        <c:numFmt formatCode="_(&quot;$&quot;* #,##0.00_);_(&quot;$&quot;* \(#,##0.00\);_(&quot;$&quot;* &quot;-&quot;??_);_(@_)" sourceLinked="1"/>
        <c:majorTickMark val="none"/>
        <c:minorTickMark val="none"/>
        <c:tickLblPos val="nextTo"/>
        <c:crossAx val="8279939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Hoja2!$B$5:$B$9</c:f>
              <c:strCache>
                <c:ptCount val="5"/>
                <c:pt idx="0">
                  <c:v>Sucursales</c:v>
                </c:pt>
                <c:pt idx="1">
                  <c:v>Sucursal 1</c:v>
                </c:pt>
                <c:pt idx="2">
                  <c:v>Sucursal 2</c:v>
                </c:pt>
                <c:pt idx="3">
                  <c:v>Sucursal 3</c:v>
                </c:pt>
                <c:pt idx="4">
                  <c:v>Sucursal 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Hoja2!$B$6:$B$9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2D1-49EB-8C7B-3A0E25C0E9EE}"/>
            </c:ext>
          </c:extLst>
        </c:ser>
        <c:ser>
          <c:idx val="1"/>
          <c:order val="1"/>
          <c:tx>
            <c:strRef>
              <c:f>Hoja2!$D$5</c:f>
              <c:strCache>
                <c:ptCount val="1"/>
                <c:pt idx="0">
                  <c:v>Importe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Hoja2!$D$6:$D$9</c:f>
              <c:numCache>
                <c:formatCode>"$"#,##0.00_);\("$"#,##0.00\)</c:formatCode>
                <c:ptCount val="4"/>
                <c:pt idx="0">
                  <c:v>9180.1720000000005</c:v>
                </c:pt>
                <c:pt idx="1">
                  <c:v>17580</c:v>
                </c:pt>
                <c:pt idx="2">
                  <c:v>31100</c:v>
                </c:pt>
                <c:pt idx="3">
                  <c:v>22400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2D1-49EB-8C7B-3A0E25C0E9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828016352"/>
        <c:axId val="818684976"/>
      </c:barChart>
      <c:catAx>
        <c:axId val="82801635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818684976"/>
        <c:crosses val="autoZero"/>
        <c:auto val="1"/>
        <c:lblAlgn val="ctr"/>
        <c:lblOffset val="100"/>
        <c:noMultiLvlLbl val="0"/>
      </c:catAx>
      <c:valAx>
        <c:axId val="818684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828016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9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5607DF2A-E178-4299-A873-B94308F986D8}">
  <sheetPr/>
  <sheetViews>
    <sheetView zoomScale="78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742950</xdr:colOff>
      <xdr:row>0</xdr:row>
      <xdr:rowOff>66674</xdr:rowOff>
    </xdr:from>
    <xdr:to>
      <xdr:col>11</xdr:col>
      <xdr:colOff>400050</xdr:colOff>
      <xdr:row>10</xdr:row>
      <xdr:rowOff>190500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A04C3E53-F978-45EC-BDE2-3A6C654C45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747713</xdr:colOff>
      <xdr:row>11</xdr:row>
      <xdr:rowOff>9525</xdr:rowOff>
    </xdr:from>
    <xdr:to>
      <xdr:col>11</xdr:col>
      <xdr:colOff>400051</xdr:colOff>
      <xdr:row>20</xdr:row>
      <xdr:rowOff>180975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43962F27-5991-4B28-B18A-C1B821A9CC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757237</xdr:colOff>
      <xdr:row>20</xdr:row>
      <xdr:rowOff>180975</xdr:rowOff>
    </xdr:from>
    <xdr:to>
      <xdr:col>11</xdr:col>
      <xdr:colOff>409575</xdr:colOff>
      <xdr:row>32</xdr:row>
      <xdr:rowOff>38100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45EC5430-1278-4D04-8A6E-79ED809C2B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305192" cy="6069135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3158C1F-A1D1-4617-A1B8-B4B596097B39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2383D-B262-48A4-AEAE-7030AABDC285}">
  <dimension ref="A1:I24"/>
  <sheetViews>
    <sheetView zoomScale="120" zoomScaleNormal="120" workbookViewId="0">
      <pane ySplit="2" topLeftCell="A3" activePane="bottomLeft" state="frozen"/>
      <selection pane="bottomLeft" activeCell="D3" sqref="D3"/>
    </sheetView>
  </sheetViews>
  <sheetFormatPr baseColWidth="10" defaultRowHeight="15" x14ac:dyDescent="0.25"/>
  <cols>
    <col min="4" max="4" width="12.7109375" bestFit="1" customWidth="1"/>
    <col min="6" max="6" width="11.42578125" customWidth="1"/>
    <col min="8" max="9" width="12.7109375" bestFit="1" customWidth="1"/>
  </cols>
  <sheetData>
    <row r="1" spans="1:9" x14ac:dyDescent="0.25">
      <c r="G1" s="2" t="s">
        <v>16</v>
      </c>
      <c r="H1" s="3">
        <f>SUM(importe)</f>
        <v>80260.171999999991</v>
      </c>
    </row>
    <row r="2" spans="1:9" x14ac:dyDescent="0.25">
      <c r="A2" t="s">
        <v>0</v>
      </c>
      <c r="B2" t="s">
        <v>1</v>
      </c>
      <c r="C2" t="s">
        <v>2</v>
      </c>
      <c r="D2" t="s">
        <v>3</v>
      </c>
    </row>
    <row r="3" spans="1:9" x14ac:dyDescent="0.25">
      <c r="A3" t="s">
        <v>4</v>
      </c>
      <c r="B3" t="s">
        <v>8</v>
      </c>
      <c r="C3" t="s">
        <v>12</v>
      </c>
      <c r="D3" s="1">
        <v>420.17200000000003</v>
      </c>
    </row>
    <row r="4" spans="1:9" x14ac:dyDescent="0.25">
      <c r="A4" t="s">
        <v>5</v>
      </c>
      <c r="B4" t="s">
        <v>9</v>
      </c>
      <c r="C4" t="s">
        <v>12</v>
      </c>
      <c r="D4" s="1">
        <v>5200</v>
      </c>
      <c r="G4" t="s">
        <v>19</v>
      </c>
      <c r="H4" t="s">
        <v>24</v>
      </c>
      <c r="I4" t="s">
        <v>3</v>
      </c>
    </row>
    <row r="5" spans="1:9" x14ac:dyDescent="0.25">
      <c r="A5" t="s">
        <v>5</v>
      </c>
      <c r="B5" t="s">
        <v>10</v>
      </c>
      <c r="C5" t="s">
        <v>12</v>
      </c>
      <c r="D5" s="1">
        <v>1300</v>
      </c>
      <c r="F5" s="5" t="s">
        <v>4</v>
      </c>
      <c r="G5" t="s">
        <v>20</v>
      </c>
      <c r="H5">
        <f>COUNTIF(sucursal,F5)</f>
        <v>5</v>
      </c>
      <c r="I5" s="1">
        <f>SUMIF(sucursal,F5,importe)</f>
        <v>9180.1720000000005</v>
      </c>
    </row>
    <row r="6" spans="1:9" x14ac:dyDescent="0.25">
      <c r="A6" t="s">
        <v>4</v>
      </c>
      <c r="B6" t="s">
        <v>10</v>
      </c>
      <c r="C6" t="s">
        <v>12</v>
      </c>
      <c r="D6" s="1">
        <v>160</v>
      </c>
      <c r="F6" s="5" t="s">
        <v>5</v>
      </c>
      <c r="G6" t="s">
        <v>21</v>
      </c>
      <c r="H6">
        <f>COUNTIF(sucursal,F6)</f>
        <v>6</v>
      </c>
      <c r="I6" s="1">
        <f>SUMIF(sucursal,F6,importe)</f>
        <v>17580</v>
      </c>
    </row>
    <row r="7" spans="1:9" x14ac:dyDescent="0.25">
      <c r="A7" t="s">
        <v>6</v>
      </c>
      <c r="B7" t="s">
        <v>9</v>
      </c>
      <c r="C7" t="s">
        <v>13</v>
      </c>
      <c r="D7" s="1">
        <v>2700</v>
      </c>
      <c r="F7" s="5" t="s">
        <v>6</v>
      </c>
      <c r="G7" t="s">
        <v>22</v>
      </c>
      <c r="H7">
        <f>COUNTIF(sucursal,F7)</f>
        <v>7</v>
      </c>
      <c r="I7" s="1">
        <f>SUMIF(sucursal,F7,importe)</f>
        <v>31100</v>
      </c>
    </row>
    <row r="8" spans="1:9" x14ac:dyDescent="0.25">
      <c r="A8" t="s">
        <v>7</v>
      </c>
      <c r="B8" t="s">
        <v>11</v>
      </c>
      <c r="C8" t="s">
        <v>13</v>
      </c>
      <c r="D8" s="1">
        <v>8000</v>
      </c>
      <c r="F8" s="5" t="s">
        <v>7</v>
      </c>
      <c r="G8" t="s">
        <v>23</v>
      </c>
      <c r="H8">
        <f>COUNTIF(sucursal,F8)</f>
        <v>4</v>
      </c>
      <c r="I8" s="1">
        <f>SUMIF(sucursal,F8,importe)</f>
        <v>22400</v>
      </c>
    </row>
    <row r="9" spans="1:9" x14ac:dyDescent="0.25">
      <c r="A9" t="s">
        <v>5</v>
      </c>
      <c r="B9" t="s">
        <v>8</v>
      </c>
      <c r="C9" t="s">
        <v>13</v>
      </c>
      <c r="D9" s="1">
        <v>2600</v>
      </c>
      <c r="G9" t="s">
        <v>16</v>
      </c>
      <c r="H9">
        <f>SUM(H5:H8)</f>
        <v>22</v>
      </c>
    </row>
    <row r="10" spans="1:9" x14ac:dyDescent="0.25">
      <c r="A10" t="s">
        <v>6</v>
      </c>
      <c r="B10" t="s">
        <v>8</v>
      </c>
      <c r="C10" t="s">
        <v>13</v>
      </c>
      <c r="D10" s="1">
        <v>3200</v>
      </c>
    </row>
    <row r="11" spans="1:9" x14ac:dyDescent="0.25">
      <c r="A11" t="s">
        <v>4</v>
      </c>
      <c r="B11" t="s">
        <v>8</v>
      </c>
      <c r="C11" t="s">
        <v>14</v>
      </c>
      <c r="D11" s="1">
        <v>450</v>
      </c>
    </row>
    <row r="12" spans="1:9" x14ac:dyDescent="0.25">
      <c r="A12" t="s">
        <v>5</v>
      </c>
      <c r="B12" t="s">
        <v>11</v>
      </c>
      <c r="C12" t="s">
        <v>14</v>
      </c>
      <c r="D12" s="1">
        <v>2500</v>
      </c>
    </row>
    <row r="13" spans="1:9" x14ac:dyDescent="0.25">
      <c r="A13" t="s">
        <v>6</v>
      </c>
      <c r="B13" t="s">
        <v>9</v>
      </c>
      <c r="C13" t="s">
        <v>14</v>
      </c>
      <c r="D13" s="1">
        <v>3200</v>
      </c>
    </row>
    <row r="14" spans="1:9" x14ac:dyDescent="0.25">
      <c r="A14" t="s">
        <v>7</v>
      </c>
      <c r="B14" t="s">
        <v>10</v>
      </c>
      <c r="C14" t="s">
        <v>14</v>
      </c>
      <c r="D14" s="1">
        <v>3100</v>
      </c>
    </row>
    <row r="15" spans="1:9" x14ac:dyDescent="0.25">
      <c r="A15" t="s">
        <v>4</v>
      </c>
      <c r="B15" t="s">
        <v>11</v>
      </c>
      <c r="C15" t="s">
        <v>14</v>
      </c>
      <c r="D15" s="1">
        <v>8000</v>
      </c>
    </row>
    <row r="16" spans="1:9" x14ac:dyDescent="0.25">
      <c r="A16" t="s">
        <v>6</v>
      </c>
      <c r="B16" t="s">
        <v>11</v>
      </c>
      <c r="C16" t="s">
        <v>14</v>
      </c>
      <c r="D16" s="1">
        <v>2500</v>
      </c>
    </row>
    <row r="17" spans="1:4" x14ac:dyDescent="0.25">
      <c r="A17" t="s">
        <v>7</v>
      </c>
      <c r="B17" t="s">
        <v>10</v>
      </c>
      <c r="C17" t="s">
        <v>15</v>
      </c>
      <c r="D17" s="1">
        <v>6500</v>
      </c>
    </row>
    <row r="18" spans="1:4" x14ac:dyDescent="0.25">
      <c r="A18" t="s">
        <v>5</v>
      </c>
      <c r="B18" t="s">
        <v>10</v>
      </c>
      <c r="C18" t="s">
        <v>15</v>
      </c>
      <c r="D18" s="1">
        <v>980</v>
      </c>
    </row>
    <row r="19" spans="1:4" x14ac:dyDescent="0.25">
      <c r="A19" t="s">
        <v>4</v>
      </c>
      <c r="B19" t="s">
        <v>8</v>
      </c>
      <c r="C19" t="s">
        <v>15</v>
      </c>
      <c r="D19" s="1">
        <v>150</v>
      </c>
    </row>
    <row r="20" spans="1:4" x14ac:dyDescent="0.25">
      <c r="A20" t="s">
        <v>5</v>
      </c>
      <c r="B20" t="s">
        <v>9</v>
      </c>
      <c r="C20" t="s">
        <v>15</v>
      </c>
      <c r="D20" s="1">
        <v>5000</v>
      </c>
    </row>
    <row r="21" spans="1:4" x14ac:dyDescent="0.25">
      <c r="A21" t="s">
        <v>6</v>
      </c>
      <c r="B21" t="s">
        <v>8</v>
      </c>
      <c r="C21" t="s">
        <v>15</v>
      </c>
      <c r="D21" s="1">
        <v>6500</v>
      </c>
    </row>
    <row r="22" spans="1:4" x14ac:dyDescent="0.25">
      <c r="A22" t="s">
        <v>7</v>
      </c>
      <c r="B22" t="s">
        <v>10</v>
      </c>
      <c r="C22" t="s">
        <v>17</v>
      </c>
      <c r="D22" s="1">
        <v>4800</v>
      </c>
    </row>
    <row r="23" spans="1:4" x14ac:dyDescent="0.25">
      <c r="A23" t="s">
        <v>6</v>
      </c>
      <c r="B23" t="s">
        <v>10</v>
      </c>
      <c r="C23" t="s">
        <v>17</v>
      </c>
      <c r="D23" s="1">
        <v>4500</v>
      </c>
    </row>
    <row r="24" spans="1:4" x14ac:dyDescent="0.25">
      <c r="A24" t="s">
        <v>6</v>
      </c>
      <c r="B24" t="s">
        <v>11</v>
      </c>
      <c r="C24" t="s">
        <v>17</v>
      </c>
      <c r="D24" s="1">
        <v>8500</v>
      </c>
    </row>
  </sheetData>
  <phoneticPr fontId="6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3D61C-353B-4801-9291-820EA10B83E3}">
  <dimension ref="A1:D28"/>
  <sheetViews>
    <sheetView topLeftCell="A8" zoomScaleNormal="100" workbookViewId="0">
      <selection activeCell="B13" sqref="B13:B17"/>
    </sheetView>
  </sheetViews>
  <sheetFormatPr baseColWidth="10" defaultRowHeight="15" x14ac:dyDescent="0.25"/>
  <cols>
    <col min="1" max="1" width="13.7109375" bestFit="1" customWidth="1"/>
    <col min="2" max="2" width="18" customWidth="1"/>
    <col min="3" max="3" width="12.7109375" bestFit="1" customWidth="1"/>
    <col min="4" max="4" width="40.5703125" customWidth="1"/>
  </cols>
  <sheetData>
    <row r="1" spans="1:4" x14ac:dyDescent="0.25">
      <c r="B1" t="s">
        <v>18</v>
      </c>
      <c r="C1" s="6">
        <f>SUM(importe)</f>
        <v>80260.171999999991</v>
      </c>
    </row>
    <row r="5" spans="1:4" x14ac:dyDescent="0.25">
      <c r="A5" s="4"/>
      <c r="B5" s="7" t="s">
        <v>19</v>
      </c>
      <c r="C5" s="7" t="s">
        <v>24</v>
      </c>
      <c r="D5" s="7" t="s">
        <v>3</v>
      </c>
    </row>
    <row r="6" spans="1:4" x14ac:dyDescent="0.25">
      <c r="A6" s="4" t="s">
        <v>4</v>
      </c>
      <c r="B6" s="7" t="s">
        <v>20</v>
      </c>
      <c r="C6" s="7">
        <f>COUNTIF(sucursal,A6)</f>
        <v>5</v>
      </c>
      <c r="D6" s="11">
        <f>SUMIF(sucursal,A6,importe)</f>
        <v>9180.1720000000005</v>
      </c>
    </row>
    <row r="7" spans="1:4" x14ac:dyDescent="0.25">
      <c r="A7" s="4" t="s">
        <v>5</v>
      </c>
      <c r="B7" s="7" t="s">
        <v>21</v>
      </c>
      <c r="C7" s="7">
        <f>COUNTIF(sucursal,A7)</f>
        <v>6</v>
      </c>
      <c r="D7" s="11">
        <f>SUMIF(sucursal,A7,importe)</f>
        <v>17580</v>
      </c>
    </row>
    <row r="8" spans="1:4" x14ac:dyDescent="0.25">
      <c r="A8" s="4" t="s">
        <v>6</v>
      </c>
      <c r="B8" s="7" t="s">
        <v>22</v>
      </c>
      <c r="C8" s="7">
        <f>COUNTIF(sucursal,A8)</f>
        <v>7</v>
      </c>
      <c r="D8" s="11">
        <f>SUMIF(sucursal,A8,importe)</f>
        <v>31100</v>
      </c>
    </row>
    <row r="9" spans="1:4" x14ac:dyDescent="0.25">
      <c r="A9" s="4" t="s">
        <v>7</v>
      </c>
      <c r="B9" s="7" t="s">
        <v>23</v>
      </c>
      <c r="C9" s="7">
        <f>COUNTIF(sucursal,A9)</f>
        <v>4</v>
      </c>
      <c r="D9" s="11">
        <f>SUMIF(sucursal,A9,importe)</f>
        <v>22400</v>
      </c>
    </row>
    <row r="10" spans="1:4" ht="15.75" thickBot="1" x14ac:dyDescent="0.3">
      <c r="A10" s="4"/>
      <c r="B10" s="9" t="s">
        <v>16</v>
      </c>
      <c r="C10" s="9">
        <f>SUM(C6:C9)</f>
        <v>22</v>
      </c>
      <c r="D10" s="10">
        <f>SUM(D6:D9)</f>
        <v>80260.171999999991</v>
      </c>
    </row>
    <row r="11" spans="1:4" ht="15.75" thickTop="1" x14ac:dyDescent="0.25"/>
    <row r="13" spans="1:4" x14ac:dyDescent="0.25">
      <c r="B13" s="7" t="s">
        <v>1</v>
      </c>
      <c r="C13" s="7" t="s">
        <v>24</v>
      </c>
      <c r="D13" s="7" t="s">
        <v>3</v>
      </c>
    </row>
    <row r="14" spans="1:4" x14ac:dyDescent="0.25">
      <c r="A14" s="4" t="s">
        <v>8</v>
      </c>
      <c r="B14" s="7" t="s">
        <v>8</v>
      </c>
      <c r="C14" s="7">
        <f>COUNTIF(motivo,A14)</f>
        <v>6</v>
      </c>
      <c r="D14" s="12">
        <f>SUMIF(motivo,A14,importe)</f>
        <v>13320.172</v>
      </c>
    </row>
    <row r="15" spans="1:4" x14ac:dyDescent="0.25">
      <c r="A15" s="4" t="s">
        <v>9</v>
      </c>
      <c r="B15" s="7" t="s">
        <v>9</v>
      </c>
      <c r="C15" s="7">
        <f>COUNTIF(motivo,A15)</f>
        <v>4</v>
      </c>
      <c r="D15" s="12">
        <f>SUMIF(motivo,A15,importe)</f>
        <v>16100</v>
      </c>
    </row>
    <row r="16" spans="1:4" x14ac:dyDescent="0.25">
      <c r="A16" s="4" t="s">
        <v>10</v>
      </c>
      <c r="B16" s="7" t="s">
        <v>25</v>
      </c>
      <c r="C16" s="7">
        <f>COUNTIF(motivo,A16)</f>
        <v>7</v>
      </c>
      <c r="D16" s="12">
        <f>SUMIF(motivo,A16,importe)</f>
        <v>21340</v>
      </c>
    </row>
    <row r="17" spans="1:4" x14ac:dyDescent="0.25">
      <c r="A17" s="4" t="s">
        <v>11</v>
      </c>
      <c r="B17" s="7" t="s">
        <v>11</v>
      </c>
      <c r="C17" s="7">
        <f>COUNTIF(motivo,A17)</f>
        <v>5</v>
      </c>
      <c r="D17" s="12">
        <f>SUMIF(motivo,A17,importe)</f>
        <v>29500</v>
      </c>
    </row>
    <row r="18" spans="1:4" ht="15.75" thickBot="1" x14ac:dyDescent="0.3">
      <c r="B18" s="9" t="s">
        <v>16</v>
      </c>
      <c r="C18" s="9">
        <f>SUM(C14:C17)</f>
        <v>22</v>
      </c>
      <c r="D18" s="10">
        <f>SUM(D14:D17)</f>
        <v>80260.171999999991</v>
      </c>
    </row>
    <row r="19" spans="1:4" ht="15.75" thickTop="1" x14ac:dyDescent="0.25"/>
    <row r="21" spans="1:4" x14ac:dyDescent="0.25">
      <c r="B21" s="7" t="s">
        <v>2</v>
      </c>
      <c r="C21" s="7" t="s">
        <v>24</v>
      </c>
      <c r="D21" s="7" t="s">
        <v>3</v>
      </c>
    </row>
    <row r="22" spans="1:4" x14ac:dyDescent="0.25">
      <c r="B22" s="7" t="s">
        <v>12</v>
      </c>
      <c r="C22" s="7">
        <f>COUNTIF(mes,B22)</f>
        <v>4</v>
      </c>
      <c r="D22" s="8">
        <f>SUMIF(mes, B22,importe)</f>
        <v>7080.1720000000005</v>
      </c>
    </row>
    <row r="23" spans="1:4" x14ac:dyDescent="0.25">
      <c r="B23" s="7" t="s">
        <v>13</v>
      </c>
      <c r="C23" s="7">
        <f>COUNTIF(mes,B23)</f>
        <v>4</v>
      </c>
      <c r="D23" s="8">
        <f>SUMIF(mes, B23,importe)</f>
        <v>16500</v>
      </c>
    </row>
    <row r="24" spans="1:4" x14ac:dyDescent="0.25">
      <c r="B24" s="7" t="s">
        <v>14</v>
      </c>
      <c r="C24" s="7">
        <f>COUNTIF(mes,B24)</f>
        <v>6</v>
      </c>
      <c r="D24" s="8">
        <f>SUMIF(mes, B24,importe)</f>
        <v>19750</v>
      </c>
    </row>
    <row r="25" spans="1:4" x14ac:dyDescent="0.25">
      <c r="B25" s="7" t="s">
        <v>15</v>
      </c>
      <c r="C25" s="7">
        <f>COUNTIF(mes,B25)</f>
        <v>5</v>
      </c>
      <c r="D25" s="8">
        <f>SUMIF(mes, B25,importe)</f>
        <v>19130</v>
      </c>
    </row>
    <row r="26" spans="1:4" x14ac:dyDescent="0.25">
      <c r="B26" s="7" t="s">
        <v>17</v>
      </c>
      <c r="C26" s="7">
        <f>COUNTIF(mes,B26)</f>
        <v>3</v>
      </c>
      <c r="D26" s="8">
        <f>SUMIF(mes, B26,importe)</f>
        <v>17800</v>
      </c>
    </row>
    <row r="27" spans="1:4" ht="15.75" thickBot="1" x14ac:dyDescent="0.3">
      <c r="B27" s="9" t="s">
        <v>16</v>
      </c>
      <c r="C27" s="9">
        <f>SUM(C22:C26)</f>
        <v>22</v>
      </c>
      <c r="D27" s="10">
        <f>SUM(D22:D26)</f>
        <v>80260.171999999991</v>
      </c>
    </row>
    <row r="28" spans="1:4" ht="15.75" thickTop="1" x14ac:dyDescent="0.25"/>
  </sheetData>
  <conditionalFormatting sqref="D6:D9">
    <cfRule type="dataBar" priority="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{751B0C41-89CA-4B4A-8398-82A4B1158567}</x14:id>
        </ext>
      </extLst>
    </cfRule>
  </conditionalFormatting>
  <conditionalFormatting sqref="C6:C9">
    <cfRule type="dataBar" priority="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{715738BF-8A3F-4B45-9600-94A6BBCAA1D4}</x14:id>
        </ext>
      </extLst>
    </cfRule>
  </conditionalFormatting>
  <conditionalFormatting sqref="D14:D17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2:D26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51B0C41-89CA-4B4A-8398-82A4B1158567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D6:D9</xm:sqref>
        </x14:conditionalFormatting>
        <x14:conditionalFormatting xmlns:xm="http://schemas.microsoft.com/office/excel/2006/main">
          <x14:cfRule type="dataBar" id="{715738BF-8A3F-4B45-9600-94A6BBCAA1D4}">
            <x14:dataBar minLength="0" maxLength="100" border="1" direction="rightToLeft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C6:C9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2E589-A1A3-438A-954F-46D42426F56E}">
  <dimension ref="A1:I11"/>
  <sheetViews>
    <sheetView tabSelected="1" zoomScale="140" zoomScaleNormal="140" workbookViewId="0">
      <selection activeCell="A12" sqref="A12"/>
    </sheetView>
  </sheetViews>
  <sheetFormatPr baseColWidth="10" defaultRowHeight="15" x14ac:dyDescent="0.25"/>
  <cols>
    <col min="6" max="6" width="11.42578125" customWidth="1"/>
    <col min="9" max="9" width="21.85546875" customWidth="1"/>
  </cols>
  <sheetData>
    <row r="1" spans="1:9" x14ac:dyDescent="0.25">
      <c r="C1" s="1">
        <v>50</v>
      </c>
    </row>
    <row r="2" spans="1:9" x14ac:dyDescent="0.25">
      <c r="A2" t="s">
        <v>26</v>
      </c>
      <c r="B2" t="s">
        <v>27</v>
      </c>
      <c r="C2" t="s">
        <v>28</v>
      </c>
      <c r="D2" t="s">
        <v>29</v>
      </c>
    </row>
    <row r="3" spans="1:9" x14ac:dyDescent="0.25">
      <c r="A3" t="s">
        <v>30</v>
      </c>
      <c r="B3" s="1">
        <v>500</v>
      </c>
      <c r="C3" t="s">
        <v>34</v>
      </c>
      <c r="D3" s="3">
        <f>IF(C3="Si",$C$1,0)+B3</f>
        <v>550</v>
      </c>
      <c r="F3" t="s">
        <v>36</v>
      </c>
    </row>
    <row r="4" spans="1:9" x14ac:dyDescent="0.25">
      <c r="A4" t="s">
        <v>30</v>
      </c>
      <c r="B4" s="1">
        <v>500</v>
      </c>
      <c r="C4" t="s">
        <v>35</v>
      </c>
      <c r="D4" s="3">
        <f t="shared" ref="D4:D11" si="0">IF(C4="Si",$C$1,0)+B4</f>
        <v>500</v>
      </c>
    </row>
    <row r="5" spans="1:9" x14ac:dyDescent="0.25">
      <c r="A5" t="s">
        <v>31</v>
      </c>
      <c r="B5" s="1">
        <v>500</v>
      </c>
      <c r="C5" t="s">
        <v>34</v>
      </c>
      <c r="D5" s="3">
        <f t="shared" si="0"/>
        <v>550</v>
      </c>
    </row>
    <row r="6" spans="1:9" x14ac:dyDescent="0.25">
      <c r="A6" t="s">
        <v>32</v>
      </c>
      <c r="B6" s="1">
        <v>500</v>
      </c>
      <c r="C6" t="s">
        <v>35</v>
      </c>
      <c r="D6" s="3">
        <f t="shared" si="0"/>
        <v>500</v>
      </c>
      <c r="G6" t="s">
        <v>37</v>
      </c>
      <c r="H6" t="s">
        <v>42</v>
      </c>
      <c r="I6" t="s">
        <v>43</v>
      </c>
    </row>
    <row r="7" spans="1:9" x14ac:dyDescent="0.25">
      <c r="A7" t="s">
        <v>31</v>
      </c>
      <c r="B7" s="1">
        <v>500</v>
      </c>
      <c r="C7" t="s">
        <v>34</v>
      </c>
      <c r="D7" s="3">
        <f t="shared" si="0"/>
        <v>550</v>
      </c>
      <c r="F7" s="4" t="s">
        <v>30</v>
      </c>
      <c r="G7" t="s">
        <v>38</v>
      </c>
      <c r="H7">
        <f>COUNTIF(combo,F7)</f>
        <v>4</v>
      </c>
      <c r="I7" s="1">
        <f>SUMIF(combo,F7,total)</f>
        <v>2150</v>
      </c>
    </row>
    <row r="8" spans="1:9" x14ac:dyDescent="0.25">
      <c r="A8" t="s">
        <v>33</v>
      </c>
      <c r="B8" s="1">
        <v>500</v>
      </c>
      <c r="C8" t="s">
        <v>35</v>
      </c>
      <c r="D8" s="3">
        <f t="shared" si="0"/>
        <v>500</v>
      </c>
      <c r="F8" s="4" t="s">
        <v>31</v>
      </c>
      <c r="G8" t="s">
        <v>39</v>
      </c>
      <c r="H8">
        <f>COUNTIF(combo,F8)</f>
        <v>3</v>
      </c>
      <c r="I8" s="1">
        <f>SUMIF(combo,F8,total)</f>
        <v>1600</v>
      </c>
    </row>
    <row r="9" spans="1:9" x14ac:dyDescent="0.25">
      <c r="A9" t="s">
        <v>30</v>
      </c>
      <c r="B9" s="1">
        <v>500</v>
      </c>
      <c r="C9" t="s">
        <v>34</v>
      </c>
      <c r="D9" s="3">
        <f t="shared" si="0"/>
        <v>550</v>
      </c>
      <c r="F9" s="4" t="s">
        <v>33</v>
      </c>
      <c r="G9" t="s">
        <v>40</v>
      </c>
      <c r="H9">
        <f>COUNTIF(combo,F9)</f>
        <v>1</v>
      </c>
      <c r="I9" s="1">
        <f>SUMIF(combo,F9,total)</f>
        <v>500</v>
      </c>
    </row>
    <row r="10" spans="1:9" x14ac:dyDescent="0.25">
      <c r="A10" t="s">
        <v>31</v>
      </c>
      <c r="B10" s="1">
        <v>500</v>
      </c>
      <c r="C10" t="s">
        <v>35</v>
      </c>
      <c r="D10" s="3">
        <f t="shared" si="0"/>
        <v>500</v>
      </c>
      <c r="F10" s="4" t="s">
        <v>32</v>
      </c>
      <c r="G10" t="s">
        <v>41</v>
      </c>
      <c r="H10">
        <f>COUNTIF(combo,F10)</f>
        <v>1</v>
      </c>
      <c r="I10" s="1">
        <f>SUMIF(combo,F10,total)</f>
        <v>500</v>
      </c>
    </row>
    <row r="11" spans="1:9" x14ac:dyDescent="0.25">
      <c r="A11" t="s">
        <v>30</v>
      </c>
      <c r="B11" s="1">
        <v>500</v>
      </c>
      <c r="C11" t="s">
        <v>34</v>
      </c>
      <c r="D11" s="3">
        <f t="shared" si="0"/>
        <v>550</v>
      </c>
    </row>
  </sheetData>
  <phoneticPr fontId="6" type="noConversion"/>
  <conditionalFormatting sqref="I7:I10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{DB61ED4D-25BB-4B60-A413-54D4551830E2}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B61ED4D-25BB-4B60-A413-54D4551830E2}">
            <x14:dataBar minLength="0" maxLength="100" border="1" direction="rightToLeft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I7:I10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Hojas de cálculo</vt:lpstr>
      </vt:variant>
      <vt:variant>
        <vt:i4>3</vt:i4>
      </vt:variant>
      <vt:variant>
        <vt:lpstr>Gráficos</vt:lpstr>
      </vt:variant>
      <vt:variant>
        <vt:i4>1</vt:i4>
      </vt:variant>
      <vt:variant>
        <vt:lpstr>Rangos con nombre</vt:lpstr>
      </vt:variant>
      <vt:variant>
        <vt:i4>6</vt:i4>
      </vt:variant>
    </vt:vector>
  </HeadingPairs>
  <TitlesOfParts>
    <vt:vector size="10" baseType="lpstr">
      <vt:lpstr>Hoja1</vt:lpstr>
      <vt:lpstr>Hoja2</vt:lpstr>
      <vt:lpstr>Hoja3</vt:lpstr>
      <vt:lpstr>Gráfico1</vt:lpstr>
      <vt:lpstr>combo</vt:lpstr>
      <vt:lpstr>importe</vt:lpstr>
      <vt:lpstr>mes</vt:lpstr>
      <vt:lpstr>motivo</vt:lpstr>
      <vt:lpstr>sucursal</vt:lpstr>
      <vt:lpstr>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</dc:creator>
  <cp:lastModifiedBy>Carlos</cp:lastModifiedBy>
  <dcterms:created xsi:type="dcterms:W3CDTF">2021-07-27T13:11:25Z</dcterms:created>
  <dcterms:modified xsi:type="dcterms:W3CDTF">2021-07-27T15:52:49Z</dcterms:modified>
</cp:coreProperties>
</file>